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9eb39eaac5042aa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ev\coverage\wcoc\"/>
    </mc:Choice>
  </mc:AlternateContent>
  <bookViews>
    <workbookView xWindow="0" yWindow="0" windowWidth="24000" windowHeight="9750" tabRatio="907" activeTab="2"/>
  </bookViews>
  <sheets>
    <sheet name="input" sheetId="1" r:id="rId1"/>
    <sheet name="Sheet1" sheetId="2" r:id="rId2"/>
    <sheet name="Sheet2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5" i="3" l="1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F31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F24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F17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F10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F3" i="3"/>
  <c r="G31" i="3"/>
  <c r="G24" i="3"/>
  <c r="G17" i="3"/>
  <c r="G10" i="3"/>
  <c r="AC21" i="2" l="1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F17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F10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F3" i="2"/>
  <c r="G17" i="2"/>
  <c r="G10" i="2"/>
  <c r="G3" i="3"/>
  <c r="G3" i="2" l="1"/>
</calcChain>
</file>

<file path=xl/comments1.xml><?xml version="1.0" encoding="utf-8"?>
<comments xmlns="http://schemas.openxmlformats.org/spreadsheetml/2006/main">
  <authors>
    <author>Mateusz Milewski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10.03.2020 EN 0
11.03.2020 EN 17
12.03.2020 EN 19
13.03.2020 EN 12
14.03.2020 EN 0
15.03.2020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16.03.2020 EN 13
17.03.2020 EN 12
18.03.2020 EN 11
19.03.2020 EN 15
20.03.2020 EN 9
21.03.2020 EN 0
22.03.2020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23.03.2020 EN 11
24.03.2020 EN 11
25.03.2020 EN 11
26.03.2020 EN 11
27.03.2020 EN 11
28.03.2020 EN 0
29.03.2020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30.03.2020 EN 11
31.03.2020 EN 57
01.04.2020 EN 12
02.04.2020 EN 12
03.04.2020 EN 12
04.04.2020 EN 0
05.04.2020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06.04.2020 EN 12
07.04.2020 EN 12
08.04.2020 EN 12
09.04.2020 EN 12
10.04.2020 EN 0
11.04.2020 EN 0
12.04.2020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13.04.2020 EN 0
14.04.2020 EN 13
15.04.2020 EN 16
16.04.2020 EN 17
17.04.2020 EN 17
18.04.2020 EN 0
19.04.2020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20.04.2020 EN 16
21.04.2020 EN 17
22.04.2020 EN 17
23.04.2020 EN 17
24.04.2020 EN 17
25.04.2020 EN 0
26.04.2020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27.04.2020 EN 17
28.04.2020 EN 17
29.04.2020 EN 16
30.04.2020 EN 16
01.05.2020 EN 0
02.05.2020 EN 0
03.05.2020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04.05.2020 EN 17
05.05.2020 EN 17
06.05.2020 EN 18
07.05.2020 EN 17
08.05.2020 EN 18
09.05.2020 EN 0
10.05.2020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11.05.2020 EN 17
12.05.2020 EN 18
13.05.2020 EN 17
14.05.2020 EN 17
15.05.2020 EN 17
16.05.2020 EN 0
17.05.2020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18.05.2020 EN 17
19.05.2020 EN 17
20.05.2020 EN 17
21.05.2020 EN 0
22.05.2020 EN 17
23.05.2020 EN 0
24.05.2020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25.05.2020 EN 17
26.05.2020 EN 17
27.05.2020 EN 17
28.05.2020 EN 17
29.05.2020 EN 17
30.05.2020 EN 0
31.05.2020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01.06.2020 EN 0
02.06.2020 EN 17
03.06.2020 EN 17
04.06.2020 EN 17
05.06.2020 EN 17
06.06.2020 EN 0
07.06.2020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08.06.2020 EN 17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31.01.2020 11:30:00 10.04.2020 09:00:00
15  A0031D 01 A0031D 01 Order EO 31.01.2020 11:30:00 10.04.2020 09:00:00
15  A0031D 01 A0031D 01 Order EO 31.01.2020 11:30:00 10.04.2020 09:00:00
15  A0031D 01 A0031D 01 Order EO 31.01.2020 11:30:00 10.04.2020 09:00:00
15  A0031D 01 A0031D 01 Order EO 31.01.2020 11:30:00 10.04.2020 09:00:00
15  A0031D 01 A0031D 01 Order EO 31.01.2020 11:30:00 10.04.2020 09:00:00
15  A0031D 01 A0031D 01 Order EO 31.01.2020 11:30:00 10.04.2020 09:00:00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10.03.2020 EN 0
11.03.2020 EN 17
12.03.2020 EN 20
13.03.2020 EN 11
14.03.2020 EN 0
15.03.2020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16.03.2020 EN 13
17.03.2020 EN 13
18.03.2020 EN 10
19.03.2020 EN 16
20.03.2020 EN 8
21.03.2020 EN 0
22.03.2020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23.03.2020 EN 11
24.03.2020 EN 11
25.03.2020 EN 11
26.03.2020 EN 12
27.03.2020 EN 10
28.03.2020 EN 0
29.03.2020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30.03.2020 EN 12
31.03.2020 EN 56
01.04.2020 EN 12
02.04.2020 EN 12
03.04.2020 EN 12
04.04.2020 EN 0
05.04.2020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06.04.2020 EN 12
07.04.2020 EN 12
08.04.2020 EN 12
09.04.2020 EN 12
10.04.2020 EN 0
11.04.2020 EN 0
12.04.2020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13.04.2020 EN 0
14.04.2020 EN 14
15.04.2020 EN 15
16.04.2020 EN 17
17.04.2020 EN 17
18.04.2020 EN 0
19.04.2020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20.04.2020 EN 17
21.04.2020 EN 16
22.04.2020 EN 17
23.04.2020 EN 18
24.04.2020 EN 17
25.04.2020 EN 0
26.04.2020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27.04.2020 EN 16
28.04.2020 EN 17
29.04.2020 EN 16
30.04.2020 EN 17
01.05.2020 EN 0
02.05.2020 EN 0
03.05.2020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04.05.2020 EN 17
05.05.2020 EN 17
06.05.2020 EN 17
07.05.2020 EN 18
08.05.2020 EN 17
09.05.2020 EN 0
10.05.2020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11.05.2020 EN 17
12.05.2020 EN 18
13.05.2020 EN 17
14.05.2020 EN 17
15.05.2020 EN 17
16.05.2020 EN 0
17.05.2020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18.05.2020 EN 17
19.05.2020 EN 17
20.05.2020 EN 17
21.05.2020 EN 0
22.05.2020 EN 17
23.05.2020 EN 0
24.05.2020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25.05.2020 EN 17
26.05.2020 EN 17
27.05.2020 EN 17
28.05.2020 EN 17
29.05.2020 EN 17
30.05.2020 EN 0
31.05.2020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01.06.2020 EN 0
02.06.2020 EN 17
03.06.2020 EN 17
04.06.2020 EN 17
05.06.2020 EN 17
06.06.2020 EN 0
07.06.2020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08.06.2020 EN 17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10.03.2020 EN 0
11.03.2020 EN 0
12.03.2020 EN 0
13.03.2020 EN 0
14.03.2020 EN 0
15.03.2020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16.03.2020 EN 0
17.03.2020 EN 0
18.03.2020 EN 0
19.03.2020 EN 0
20.03.2020 EN 0
21.03.2020 EN 0
22.03.2020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23.03.2020 EN 0
24.03.2020 EN 0
25.03.2020 EN 0
26.03.2020 EN 0
27.03.2020 EN 0
28.03.2020 EN 0
29.03.2020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30.03.2020 EN 0
31.03.2020 EN 0
01.04.2020 EN 0
02.04.2020 EN 0
03.04.2020 EN 0
04.04.2020 EN 0
05.04.2020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06.04.2020 EN 0
07.04.2020 EN 0
08.04.2020 EN 0
09.04.2020 EN 0
10.04.2020 EN 0
11.04.2020 EN 0
12.04.2020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13.04.2020 EN 0
14.04.2020 EN 0
15.04.2020 EN 0
16.04.2020 EN 0
17.04.2020 EN 0
18.04.2020 EN 0
19.04.2020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20.04.2020 EN 0
21.04.2020 EN 0
22.04.2020 EN 0
23.04.2020 EN 0
24.04.2020 EN 0
25.04.2020 EN 0
26.04.2020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27.04.2020 EN 0
28.04.2020 EN 0
29.04.2020 EN 0
30.04.2020 EN 4
01.05.2020 EN 0
02.05.2020 EN 0
03.05.2020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04.05.2020 EN 17
05.05.2020 EN 16
06.05.2020 EN 18
07.05.2020 EN 17
08.05.2020 EN 18
09.05.2020 EN 0
10.05.2020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11.05.2020 EN 17
12.05.2020 EN 18
13.05.2020 EN 17
14.05.2020 EN 17
15.05.2020 EN 17
16.05.2020 EN 0
17.05.2020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18.05.2020 EN 17
19.05.2020 EN 17
20.05.2020 EN 17
21.05.2020 EN 0
22.05.2020 EN 17
23.05.2020 EN 0
24.05.2020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25.05.2020 EN 17
26.05.2020 EN 17
27.05.2020 EN 17
28.05.2020 EN 17
29.05.2020 EN 17
30.05.2020 EN 0
31.05.2020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01.06.2020 EN 0
02.06.2020 EN 17
03.06.2020 EN 17
04.06.2020 EN 17
05.06.2020 EN 17
06.06.2020 EN 0
07.06.2020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08.06.2020 EN 17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14.02.2020 23:55:00 08.05.2020 11:00:00
96  A005H8 01 A005H8 01 Order AN 14.02.2020 23:55:00 08.05.2020 11:00:00
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</t>
        </r>
      </text>
    </comment>
    <comment ref="T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EF 27.02.2020 23:55:00 22.05.2020 11:00:00
96  A005H8 01 A005H8 01 Order EF 28.02.2020 23:55:00 22.05.2020 11:00:00
96  A005H8 01 A005H8 01 Order EF 28.02.2020 09:30:00 22.05.2020 11:00:00
96  A005H8 01 A005H8 01 Order EF 27.02.2020 15:30:00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05.03.2020 18:00:00 22.05.2020 11:00:00
96  A005H8 01 A005H8 01 Order EF 05.03.2020 18:00:00 22.05.2020 11:00:00
96  A005H8 01 A005H8 01 Order EF 05.03.2020 18:00:00 22.05.2020 11:00:00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14.02.2020 23:55:00  08.05.2020 11:00:00
96  A005H8 01  A005H8 01  Order AN  14.02.2020 23:55:00  08.05.2020 11:00:00
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</t>
        </r>
      </text>
    </comment>
    <comment ref="T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EF  27.02.2020 23:55:00  22.05.2020 11:00:00
96  A005H8 01  A005H8 01  Order EF  28.02.2020 23:55:00  22.05.2020 11:00:00
96  A005H8 01  A005H8 01  Order EF  28.02.2020 09:30:00  22.05.2020 11:00:00
96  A005H8 01  A005H8 01  Order EF  27.02.2020 15:30:00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05.03.2020 18:00:00  22.05.2020 11:00:00
96  A005H8 01  A005H8 01  Order EF  05.03.2020 18:00:00  22.05.2020 11:00:00
96  A005H8 01  A005H8 01  Order EF  05.03.2020 18:00:00  22.05.2020 11:00:00
</t>
        </r>
      </text>
    </comment>
  </commentList>
</comments>
</file>

<file path=xl/comments2.xml><?xml version="1.0" encoding="utf-8"?>
<comments xmlns="http://schemas.openxmlformats.org/spreadsheetml/2006/main">
  <authors>
    <author>Mateusz Milewski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16.03.2020 EN 19
17.03.2020 EN 13
18.03.2020 EN 10
19.03.2020 EN 15
20.03.2020 EN 10
21.03.2020 EN 0
22.03.2020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23.03.2020 EN 10
24.03.2020 EN 11
25.03.2020 EN 11
26.03.2020 EN 12
27.03.2020 EN 14
28.03.2020 EN 0
29.03.2020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30.03.2020 EN 13
31.03.2020 EN 10
01.04.2020 EN 10
02.04.2020 EN 12
03.04.2020 EN 11
04.04.2020 EN 0
05.04.2020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06.04.2020 EN 12
07.04.2020 EN 11
08.04.2020 EN 11
09.04.2020 EN 12
10.04.2020 EN 0
11.04.2020 EN 0
12.04.2020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13.04.2020 EN 0
14.04.2020 EN 11
15.04.2020 EN 12
16.04.2020 EN 12
17.04.2020 EN 12
18.04.2020 EN 0
19.04.2020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20.04.2020 EN 14
21.04.2020 EN 16
22.04.2020 EN 17
23.04.2020 EN 16
24.04.2020 EN 17
25.04.2020 EN 0
26.04.2020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27.04.2020 EN 17
28.04.2020 EN 17
29.04.2020 EN 17
30.04.2020 EN 17
01.05.2020 EN 0
02.05.2020 EN 0
03.05.2020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04.05.2020 EN 17
05.05.2020 EN 17
06.05.2020 EN 17
07.05.2020 EN 17
08.05.2020 EN 17
09.05.2020 EN 0
10.05.2020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11.05.2020 EN 17
12.05.2020 EN 18
13.05.2020 EN 17
14.05.2020 EN 18
15.05.2020 EN 17
16.05.2020 EN 0
17.05.2020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18.05.2020 EN 17
19.05.2020 EN 17
20.05.2020 EN 17
21.05.2020 EN 0
22.05.2020 EN 17
23.05.2020 EN 0
24.05.2020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25.05.2020 EN 17
26.05.2020 EN 17
27.05.2020 EN 17
28.05.2020 EN 17
29.05.2020 EN 17
30.05.2020 EN 0
31.05.2020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01.06.2020 EN 0
02.06.2020 EN 17
03.06.2020 EN 17
04.06.2020 EN 17
05.06.2020 EN 17
06.06.2020 EN 0
07.06.2020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08.06.2020 EN 18
09.06.2020 EN 17
10.06.2020 EN 17
11.06.2020 EN 17
12.06.2020 EN 17
13.06.2020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4  25173L 01 25173L 01 Order EO 22.01.2020 06:00:00 16.03.2020 10:00:00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29.01.2020 06:00:00 23.03.2020 10:00:00
4  25173L 01 25173L 01 Order AN 29.01.2020 06:00:00 23.03.2020 10:00:00
4  25173L 01 25173L 01 Order AN 29.01.2020 06:00:00 23.03.2020 10:00:00
4  25173L 01 25173L 01 Order AN 29.01.2020 06:00:00 23.03.2020 10:00:00
4  25173L 01 25173L 01 Order AN 29.01.2020 06:00:00 23.03.2020 10:00:00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4  25173L 01 25173L 01 Order EO 05.02.2020 06:00:00 30.03.2020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4  25173L 01 25173L 01 Order EO 12.02.2020 06:00:00 06.04.2020 10:00:00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4  25173L 01 25173L 01 Order EO 19.02.2020 06:00:00 13.04.2020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25173L 01 25173L 01 Order EO 04.03.2020 06:00:00 27.04.2020 10:00:00
6  25173L 01 25173L 01 Order EO 04.03.2020 06:00:00 27.04.2020 10:00:00
6  25173L 01 25173L 01 Order EO 04.03.2020 06:00:00 27.04.2020 10:00:00
6  25173L 01 25173L 01 Order EO 04.03.2020 06:00:00 27.04.2020 10:00:00
6  25173L 01 25173L 01 Order EO 04.03.2020 06:00:00 27.04.2020 10:00:00
6  25173L 01 25173L 01 Order EO 04.03.2020 06:00:00 27.04.2020 10:00:00
6  25173L 01 25173L 01 Order EO 04.03.2020 06:00:00 27.04.2020 10:00:00
6  25173L 01 25173L 01 Order EO 04.03.2020 06:00:00 27.04.2020 10:00:00
6  25173L 01 25173L 01 Order EO 04.03.2020 06:00:00 27.04.2020 10:00:00
6  25173L 01 25173L 01 Order EO 04.03.2020 06:00:00 27.04.2020 10:00:00
6  25173L 01 25173L 01 Order EO 04.03.2020 06:00:00 27.04.2020 10:00:00
6  25173L 01 25173L 01 Order EO 04.03.2020 06:00:00 27.04.2020 10:00:00
6  25173L 01 25173L 01 Order EO 04.03.2020 06:00:00 27.04.2020 10:00:00
6  25173L 01 25173L 01 Order EO 04.03.2020 06:00:00 27.04.2020 10:00:00
6  25173L 01 25173L 01 Order EO 04.03.2020 06:00:00 27.04.2020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29.01.2020 06:00:00  23.03.2020 10:00:00
4  25173L 01  25173L 01  Order AN  29.01.2020 06:00:00  23.03.2020 10:00:00
4  25173L 01  25173L 01  Order AN  29.01.2020 06:00:00  23.03.2020 10:00:00
4  25173L 01  25173L 01  Order AN  29.01.2020 06:00:00  23.03.2020 10:00:00
4  25173L 01  25173L 01  Order AN  29.01.2020 06:00:00  23.03.2020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16.03.2020 EN 14
17.03.2020 EN 12
18.03.2020 EN 11
19.03.2020 EN 15
20.03.2020 EN 9
21.03.2020 EN 0
22.03.2020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23.03.2020 EN 10
24.03.2020 EN 12
25.03.2020 EN 11
26.03.2020 EN 12
27.03.2020 EN 15
28.03.2020 EN 0
29.03.2020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30.03.2020 EN 12
31.03.2020 EN 9
01.04.2020 EN 11
02.04.2020 EN 11
03.04.2020 EN 12
04.04.2020 EN 0
05.04.2020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06.04.2020 EN 11
07.04.2020 EN 12
08.04.2020 EN 11
09.04.2020 EN 11
10.04.2020 EN 0
11.04.2020 EN 0
12.04.2020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13.04.2020 EN 0
14.04.2020 EN 12
15.04.2020 EN 12
16.04.2020 EN 12
17.04.2020 EN 12
18.04.2020 EN 0
19.04.2020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20.04.2020 EN 14
21.04.2020 EN 16
22.04.2020 EN 17
23.04.2020 EN 17
24.04.2020 EN 16
25.04.2020 EN 0
26.04.2020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27.04.2020 EN 17
28.04.2020 EN 17
29.04.2020 EN 17
30.04.2020 EN 17
01.05.2020 EN 0
02.05.2020 EN 0
03.05.2020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04.05.2020 EN 17
05.05.2020 EN 17
06.05.2020 EN 17
07.05.2020 EN 17
08.05.2020 EN 17
09.05.2020 EN 0
10.05.2020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11.05.2020 EN 17
12.05.2020 EN 18
13.05.2020 EN 17
14.05.2020 EN 18
15.05.2020 EN 17
16.05.2020 EN 0
17.05.2020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18.05.2020 EN 17
19.05.2020 EN 17
20.05.2020 EN 17
21.05.2020 EN 0
22.05.2020 EN 17
23.05.2020 EN 0
24.05.2020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25.05.2020 EN 17
26.05.2020 EN 17
27.05.2020 EN 17
28.05.2020 EN 17
29.05.2020 EN 17
30.05.2020 EN 0
31.05.2020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01.06.2020 EN 0
02.06.2020 EN 17
03.06.2020 EN 17
04.06.2020 EN 18
05.06.2020 EN 17
06.06.2020 EN 0
07.06.2020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08.06.2020 EN 17
09.06.2020 EN 17
10.06.2020 EN 17
11.06.2020 EN 17
12.06.2020 EN 17
13.06.2020 EN 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15  A0031D 01 A0031D 01 Order EO 17.01.2020 11:30:00 27.03.2020 09:00:00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31.01.2020 11:30:00 10.04.2020 09:00:00
15  A0031D 01 A0031D 01 Order EO 31.01.2020 11:30:00 10.04.2020 09:00:00
15  A0031D 01 A0031D 01 Order EO 31.01.2020 11:30:00 10.04.2020 09:00:00
15  A0031D 01 A0031D 01 Order EO 31.01.2020 11:30:00 10.04.2020 09:00:00
15  A0031D 01 A0031D 01 Order EO 31.01.2020 11:30:00 10.04.2020 09:00:00
15  A0031D 01 A0031D 01 Order EO 31.01.2020 11:30:00 10.04.2020 09:00:00
15  A0031D 01 A0031D 01 Order EO 31.01.2020 11:30:00 10.04.2020 09:00:00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27.12.2019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DT 03.01.2020 11:30:00 15.04.2020 09:30:00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15  A0031D 01 A0031D 01 Order EO 07.02.2020 11:30:00 17.04.2020 09:00:00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15  A0031D 01 A0031D 01 Order EO 14.02.2020 11:30:00 24.04.2020 09:00:00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15  A0031D 01 A0031D 01 Order EO 21.02.2020 11:30:00 01.05.2020 09:00:00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15  A0031D 01 A0031D 01 Order EO 28.02.2020 11:30:00 08.05.2020 09:00:00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15  A0031D 01 A0031D 01 Order EO 06.03.2020 11:30:00 15.05.2020 09:00:00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27.12.2019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15  A0031D 01  A0031D 01  Order DT  03.01.2020 11:30:00  15.04.2020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16.03.2020 EN 14
17.03.2020 EN 12
18.03.2020 EN 11
19.03.2020 EN 16
20.03.2020 EN 8
21.03.2020 EN 0
22.03.2020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23.03.2020 EN 11
24.03.2020 EN 11
25.03.2020 EN 11
26.03.2020 EN 12
27.03.2020 EN 16
28.03.2020 EN 0
29.03.2020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30.03.2020 EN 11
31.03.2020 EN 10
01.04.2020 EN 10
02.04.2020 EN 12
03.04.2020 EN 11
04.04.2020 EN 0
05.04.2020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06.04.2020 EN 12
07.04.2020 EN 11
08.04.2020 EN 11
09.04.2020 EN 12
10.04.2020 EN 0
11.04.2020 EN 0
12.04.2020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13.04.2020 EN 0
14.04.2020 EN 11
15.04.2020 EN 12
16.04.2020 EN 12
17.04.2020 EN 12
18.04.2020 EN 0
19.04.2020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20.04.2020 EN 14
21.04.2020 EN 17
22.04.2020 EN 16
23.04.2020 EN 17
24.04.2020 EN 16
25.04.2020 EN 0
26.04.2020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27.04.2020 EN 17
28.04.2020 EN 17
29.04.2020 EN 17
30.04.2020 EN 17
01.05.2020 EN 0
02.05.2020 EN 0
03.05.2020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04.05.2020 EN 18
05.05.2020 EN 17
06.05.2020 EN 17
07.05.2020 EN 17
08.05.2020 EN 17
09.05.2020 EN 0
10.05.2020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11.05.2020 EN 17
12.05.2020 EN 17
13.05.2020 EN 18
14.05.2020 EN 17
15.05.2020 EN 18
16.05.2020 EN 0
17.05.2020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18.05.2020 EN 17
19.05.2020 EN 17
20.05.2020 EN 17
21.05.2020 EN 0
22.05.2020 EN 17
23.05.2020 EN 0
24.05.2020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25.05.2020 EN 17
26.05.2020 EN 17
27.05.2020 EN 17
28.05.2020 EN 17
29.05.2020 EN 17
30.05.2020 EN 0
31.05.2020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01.06.2020 EN 0
02.06.2020 EN 17
03.06.2020 EN 17
04.06.2020 EN 17
05.06.2020 EN 17
06.06.2020 EN 0
07.06.2020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08.06.2020 EN 17
09.06.2020 EN 17
10.06.2020 EN 17
11.06.2020 EN 17
12.06.2020 EN 17
13.06.2020 EN 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6  A0031D 01 A0031D 01 Order EO 17.01.2020 11:30:00 27.03.2020 09:00:00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6  A0031D 01 A0031D 01 Order EO 31.01.2020 11:30:00 10.04.2020 09:00:00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27.12.2019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DT 03.01.2020 11:30:00 15.04.2020 09:30:00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6  A0031D 01 A0031D 01 Order EO 07.02.2020 11:30:00 17.04.2020 09:00:00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6  A0031D 01 A0031D 01 Order EO 14.02.2020 11:30:00 24.04.2020 09:00:00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6  A0031D 01 A0031D 01 Order EO 21.02.2020 11:30:00 01.05.2020 09:00:00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6  A0031D 01 A0031D 01 Order EO 28.02.2020 11:30:00 08.05.2020 09:00:00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6  A0031D 01 A0031D 01 Order EO 06.03.2020 11:30:00 15.05.2020 09:00:00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27.12.2019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6  A0031D 01  A0031D 01  Order DT  03.01.2020 11:30:00  15.04.2020 09:30:00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16.03.2020 EN 14
17.03.2020 EN 12
18.03.2020 EN 11
19.03.2020 EN 16
20.03.2020 EN 8
21.03.2020 EN 0
22.03.2020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23.03.2020 EN 11
24.03.2020 EN 11
25.03.2020 EN 11
26.03.2020 EN 12
27.03.2020 EN 16
28.03.2020 EN 0
29.03.2020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30.03.2020 EN 11
31.03.2020 EN 10
01.04.2020 EN 10
02.04.2020 EN 12
03.04.2020 EN 11
04.04.2020 EN 0
05.04.2020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06.04.2020 EN 12
07.04.2020 EN 11
08.04.2020 EN 11
09.04.2020 EN 11
10.04.2020 EN 0
11.04.2020 EN 0
12.04.2020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13.04.2020 EN 0
14.04.2020 EN 12
15.04.2020 EN 12
16.04.2020 EN 12
17.04.2020 EN 12
18.04.2020 EN 0
19.04.2020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20.04.2020 EN 14
21.04.2020 EN 17
22.04.2020 EN 16
23.04.2020 EN 17
24.04.2020 EN 16
25.04.2020 EN 0
26.04.2020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27.04.2020 EN 17
28.04.2020 EN 17
29.04.2020 EN 17
30.04.2020 EN 17
01.05.2020 EN 0
02.05.2020 EN 0
03.05.2020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04.05.2020 EN 17
05.05.2020 EN 17
06.05.2020 EN 17
07.05.2020 EN 17
08.05.2020 EN 17
09.05.2020 EN 0
10.05.2020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11.05.2020 EN 18
12.05.2020 EN 17
13.05.2020 EN 18
14.05.2020 EN 17
15.05.2020 EN 17
16.05.2020 EN 0
17.05.2020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18.05.2020 EN 18
19.05.2020 EN 17
20.05.2020 EN 17
21.05.2020 EN 0
22.05.2020 EN 17
23.05.2020 EN 0
24.05.2020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25.05.2020 EN 17
26.05.2020 EN 17
27.05.2020 EN 17
28.05.2020 EN 17
29.05.2020 EN 17
30.05.2020 EN 0
31.05.2020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01.06.2020 EN 0
02.06.2020 EN 17
03.06.2020 EN 17
04.06.2020 EN 17
05.06.2020 EN 17
06.06.2020 EN 0
07.06.2020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08.06.2020 EN 17
09.06.2020 EN 17
10.06.2020 EN 17
11.06.2020 EN 17
12.06.2020 EN 17
13.06.2020 EN 0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5  A005G8 01 A005G8 01 Order AN 17.01.2020 11:30:00 27.03.2020 11:00:00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5  A005G8 01 A005G8 01 Order EO 24.01.2020 11:30:00 03.04.2020 11:00:00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5  A005G8 01 A005G8 01 Order EO 31.01.2020 11:30:00 10.04.2020 11:00:00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5  A005G8 01 A005G8 01 Order EO 07.02.2020 11:30:00 17.04.2020 11:00:00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5  A005G8 01 A005G8 01 Order EO 14.02.2020 11:30:00 24.04.2020 11:00:00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5  A005G8 01 A005G8 01 Order EO 21.02.2020 11:30:00 01.05.2020 11:00:00
80  A005G8 01 A005G8 01 Order EO 21.02.2020 11:30:00 01.05.2020 11:00:00
80  A005G8 01 A005G8 01 Order EO 21.02.2020 11:30:00 01.05.2020 11:00:00
80  A005G8 01 A005G8 01 Order EO 21.02.2020 11:30:00 01.05.2020 11:00:00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5  A005G8 01 A005G8 01 Order EO 28.02.2020 11:30:00 08.05.2020 11:00:00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5  A005G8 01 A005G8 01 Order EO 06.03.2020 11:30:00 15.05.2020 11:00:00
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5  A005G8 01 A005G8 01 Order EO 13.03.2020 11:30:00 22.05.2020 11:00:00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5  A005G8 01  A005G8 01  Order AN  17.01.2020 11:30:00  27.03.2020 11:00:00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16.03.2020 EN 0
17.03.2020 EN 0
18.03.2020 EN 0
19.03.2020 EN 0
20.03.2020 EN 0
21.03.2020 EN 0
22.03.2020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23.03.2020 EN 0
24.03.2020 EN 0
25.03.2020 EN 0
26.03.2020 EN 0
27.03.2020 EN 0
28.03.2020 EN 0
29.03.2020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30.03.2020 EN 0
31.03.2020 EN 0
01.04.2020 EN 0
02.04.2020 EN 0
03.04.2020 EN 0
04.04.2020 EN 0
05.04.2020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06.04.2020 EN 0
07.04.2020 EN 0
08.04.2020 EN 0
09.04.2020 EN 0
10.04.2020 EN 0
11.04.2020 EN 0
12.04.2020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13.04.2020 EN 0
14.04.2020 EN 0
15.04.2020 EN 0
16.04.2020 EN 0
17.04.2020 EN 0
18.04.2020 EN 0
19.04.2020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20.04.2020 EN 0
21.04.2020 EN 0
22.04.2020 EN 0
23.04.2020 EN 0
24.04.2020 EN 0
25.04.2020 EN 0
26.04.2020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27.04.2020 EN 0
28.04.2020 EN 0
29.04.2020 EN 0
30.04.2020 EN 4
01.05.2020 EN 0
02.05.2020 EN 0
03.05.2020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04.05.2020 EN 17
05.05.2020 EN 17
06.05.2020 EN 17
07.05.2020 EN 17
08.05.2020 EN 17
09.05.2020 EN 0
10.05.2020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11.05.2020 EN 17
12.05.2020 EN 18
13.05.2020 EN 17
14.05.2020 EN 18
15.05.2020 EN 17
16.05.2020 EN 0
17.05.2020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18.05.2020 EN 17
19.05.2020 EN 17
20.05.2020 EN 17
21.05.2020 EN 0
22.05.2020 EN 17
23.05.2020 EN 0
24.05.2020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25.05.2020 EN 17
26.05.2020 EN 17
27.05.2020 EN 17
28.05.2020 EN 17
29.05.2020 EN 17
30.05.2020 EN 0
31.05.2020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01.06.2020 EN 0
02.06.2020 EN 17
03.06.2020 EN 17
04.06.2020 EN 18
05.06.2020 EN 17
06.06.2020 EN 0
07.06.2020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08.06.2020 EN 17
09.06.2020 EN 17
10.06.2020 EN 17
11.06.2020 EN 17
12.06.2020 EN 17
13.06.2020 EN 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14.02.2020 23:55:00 08.05.2020 11:00:00
96  A005H8 01 A005H8 01 Order AN 14.02.2020 23:55:00 08.05.2020 11:00:00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21.02.2020 23:55:00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96  A005H8 01 A005H8 01 Order AN 26.02.2020 11:30:00 15.05.2020 11:00:00
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EF 27.02.2020 23:55:00 22.05.2020 11:00:00
96  A005H8 01 A005H8 01 Order EF 28.02.2020 23:55:00 22.05.2020 11:00:00
96  A005H8 01 A005H8 01 Order EF 28.02.2020 09:30:00 22.05.2020 11:00:00
96  A005H8 01 A005H8 01 Order EF 27.02.2020 15:30:00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04.03.2020 11:30:00 22.05.2020 11:00:00
96  A005H8 01 A005H8 01 Order EF 05.03.2020 18:00:00 22.05.2020 11:00:00
96  A005H8 01 A005H8 01 Order EF 05.03.2020 18:00:00 22.05.2020 11:00:00
96  A005H8 01 A005H8 01 Order EF 05.03.2020 18:00:00 22.05.2020 11:00:00
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14.02.2020 23:55:00  08.05.2020 11:00:00
96  A005H8 01  A005H8 01  Order AN  14.02.2020 23:55:00  08.05.2020 11:00:00
</t>
        </r>
      </text>
    </comment>
    <comment ref="R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21.02.2020 23:55:00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96  A005H8 01  A005H8 01  Order AN  26.02.2020 11:30:00  15.05.2020 11:00:00
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EF  27.02.2020 23:55:00  22.05.2020 11:00:00
96  A005H8 01  A005H8 01  Order EF  28.02.2020 23:55:00  22.05.2020 11:00:00
96  A005H8 01  A005H8 01  Order EF  28.02.2020 09:30:00  22.05.2020 11:00:00
96  A005H8 01  A005H8 01  Order EF  27.02.2020 15:30:00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04.03.2020 11:30:00  22.05.2020 11:00:00
96  A005H8 01  A005H8 01  Order EF  05.03.2020 18:00:00  22.05.2020 11:00:00
96  A005H8 01  A005H8 01  Order EF  05.03.2020 18:00:00  22.05.2020 11:00:00
96  A005H8 01  A005H8 01  Order EF  05.03.2020 18:00:00  22.05.2020 11:00:00
</t>
        </r>
      </text>
    </comment>
  </commentList>
</comments>
</file>

<file path=xl/sharedStrings.xml><?xml version="1.0" encoding="utf-8"?>
<sst xmlns="http://schemas.openxmlformats.org/spreadsheetml/2006/main" count="209" uniqueCount="38">
  <si>
    <t>PLT</t>
  </si>
  <si>
    <t>PN</t>
  </si>
  <si>
    <t>Comment</t>
  </si>
  <si>
    <t>EI</t>
  </si>
  <si>
    <t>HUTCHINSON INDUSTRIAL RUBBER PRODUC</t>
  </si>
  <si>
    <t>ContiTech Power Transmission (Ningh</t>
  </si>
  <si>
    <t>Weekly Coverage on Corail, new rep: 11.03.2020 13:42:05</t>
  </si>
  <si>
    <t xml:space="preserve">BIND: </t>
  </si>
  <si>
    <t>Past due</t>
  </si>
  <si>
    <t>First runout</t>
  </si>
  <si>
    <t xml:space="preserve">HUTCHINSON INDUSTRIAL RUBBER PRODUC </t>
  </si>
  <si>
    <t>OSZHM3J</t>
  </si>
  <si>
    <t>BREWCZYK PAULINA</t>
  </si>
  <si>
    <t>A0031D  01</t>
  </si>
  <si>
    <t>VENDOR / SELLER:     A0031D  01</t>
  </si>
  <si>
    <t>RQM</t>
  </si>
  <si>
    <t>Ordered</t>
  </si>
  <si>
    <t>Shipped</t>
  </si>
  <si>
    <t>Manual</t>
  </si>
  <si>
    <t>Coverage</t>
  </si>
  <si>
    <t xml:space="preserve">  </t>
  </si>
  <si>
    <t>BAL</t>
  </si>
  <si>
    <t>STOCK</t>
  </si>
  <si>
    <t>RECV</t>
  </si>
  <si>
    <t>Hazards from FJU</t>
  </si>
  <si>
    <t>Blockages in progress</t>
  </si>
  <si>
    <t xml:space="preserve">ContiTech Power Transmission (Ningh </t>
  </si>
  <si>
    <t>A005H8  01</t>
  </si>
  <si>
    <t>VENDOR / SELLER:     A005H8  01</t>
  </si>
  <si>
    <t>VIBRACOUSTIC (WUXI) VIBRATION ISOLA</t>
  </si>
  <si>
    <t>Xiangyang Millison Science &amp; Techno</t>
  </si>
  <si>
    <t>Weekly Coverage on Corail, new rep: 16.03.2020 12:28:18</t>
  </si>
  <si>
    <t xml:space="preserve">VIBRACOUSTIC (WUXI) VIBRATION ISOLA </t>
  </si>
  <si>
    <t>25173L  01</t>
  </si>
  <si>
    <t>VENDOR / SELLER:     25173L  01</t>
  </si>
  <si>
    <t xml:space="preserve">Xiangyang Millison Science &amp;amp; Techno </t>
  </si>
  <si>
    <t>A005G8  01</t>
  </si>
  <si>
    <t>VENDOR / SELLER:     A005G8 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</si>
</sst>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_ ;[Red]\-0\ "/>
  </numFmts>
  <fonts count="7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3300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FFFA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2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4" fillId="0" borderId="0" xfId="0" applyFont="1"/>
    <xf numFmtId="0" fontId="0" fillId="6" borderId="0" xfId="0" applyFill="1"/>
    <xf numFmtId="164" fontId="5" fillId="5" borderId="0" xfId="0" applyNumberFormat="1" applyFont="1" applyFill="1"/>
    <xf numFmtId="0" fontId="2" fillId="3" borderId="0" xfId="0" applyFont="1" applyFill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D9F"/>
      <color rgb="FFFFFECE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300"/>
  </sheetPr>
  <dimension ref="A1:C6"/>
  <sheetViews>
    <sheetView workbookViewId="0">
      <selection activeCell="D12" sqref="D12"/>
    </sheetView>
  </sheetViews>
  <sheetFormatPr defaultRowHeight="15" x14ac:dyDescent="0.25"/>
  <cols>
    <col min="1" max="1" width="4" bestFit="1" customWidth="1"/>
    <col min="2" max="2" width="13.7109375" customWidth="1"/>
    <col min="3" max="3" width="39.85546875" bestFit="1" customWidth="1"/>
    <col min="4" max="4" width="13.8554687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>
        <v>9820499380</v>
      </c>
      <c r="C2" t="s">
        <v>29</v>
      </c>
    </row>
    <row r="3" spans="1:3" x14ac:dyDescent="0.25">
      <c r="A3" t="s">
        <v>3</v>
      </c>
      <c r="B3">
        <v>9820511880</v>
      </c>
      <c r="C3" t="s">
        <v>4</v>
      </c>
    </row>
    <row r="4" spans="1:3" x14ac:dyDescent="0.25">
      <c r="A4" t="s">
        <v>3</v>
      </c>
      <c r="B4">
        <v>9820554780</v>
      </c>
      <c r="C4" t="s">
        <v>4</v>
      </c>
    </row>
    <row r="5" spans="1:3" x14ac:dyDescent="0.25">
      <c r="A5" t="s">
        <v>3</v>
      </c>
      <c r="B5">
        <v>9833032280</v>
      </c>
      <c r="C5" t="s">
        <v>30</v>
      </c>
    </row>
    <row r="6" spans="1:3" x14ac:dyDescent="0.25">
      <c r="A6" t="s">
        <v>3</v>
      </c>
      <c r="B6">
        <v>9831600980</v>
      </c>
      <c r="C6" t="s">
        <v>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C21"/>
  <sheetViews>
    <sheetView showGridLines="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6</v>
      </c>
      <c r="B1" t="s">
        <v>7</v>
      </c>
    </row>
    <row r="2" spans="1:29" x14ac:dyDescent="0.25">
      <c r="A2" s="2" t="s">
        <v>0</v>
      </c>
      <c r="B2" s="2" t="s">
        <v>14</v>
      </c>
      <c r="C2" s="2"/>
      <c r="D2" s="2"/>
      <c r="E2" s="2"/>
      <c r="F2" s="2"/>
      <c r="G2" s="2" t="s">
        <v>9</v>
      </c>
      <c r="H2" s="2"/>
      <c r="I2" s="2" t="s">
        <v>8</v>
      </c>
      <c r="J2" s="2">
        <v>11</v>
      </c>
      <c r="K2" s="2">
        <v>12</v>
      </c>
      <c r="L2" s="2">
        <v>13</v>
      </c>
      <c r="M2" s="2">
        <v>14</v>
      </c>
      <c r="N2" s="2">
        <v>15</v>
      </c>
      <c r="O2" s="2">
        <v>16</v>
      </c>
      <c r="P2" s="2">
        <v>17</v>
      </c>
      <c r="Q2" s="2">
        <v>18</v>
      </c>
      <c r="R2" s="2">
        <v>19</v>
      </c>
      <c r="S2" s="2">
        <v>20</v>
      </c>
      <c r="T2" s="2">
        <v>21</v>
      </c>
      <c r="U2" s="2">
        <v>22</v>
      </c>
      <c r="V2" s="2">
        <v>23</v>
      </c>
      <c r="W2" s="2">
        <v>24</v>
      </c>
      <c r="X2" s="2">
        <v>25</v>
      </c>
      <c r="Y2" s="2">
        <v>26</v>
      </c>
      <c r="Z2" s="2">
        <v>27</v>
      </c>
      <c r="AA2" s="2">
        <v>28</v>
      </c>
      <c r="AB2" s="2">
        <v>29</v>
      </c>
      <c r="AC2" s="2">
        <v>30</v>
      </c>
    </row>
    <row r="3" spans="1:29" x14ac:dyDescent="0.25">
      <c r="A3" s="9" t="s">
        <v>3</v>
      </c>
      <c r="B3" s="4" t="s">
        <v>10</v>
      </c>
      <c r="C3" s="2" t="s">
        <v>20</v>
      </c>
      <c r="E3" t="s">
        <v>21</v>
      </c>
      <c r="F3">
        <f>F4+F5</f>
        <v>-50</v>
      </c>
      <c r="G3" s="2">
        <f>calcFirstRunOut(J7:AC7)</f>
        <v>202011</v>
      </c>
      <c r="H3" s="2" t="s">
        <v>15</v>
      </c>
      <c r="J3" s="3">
        <v>48</v>
      </c>
      <c r="K3" s="3">
        <v>60</v>
      </c>
      <c r="L3" s="3">
        <v>55</v>
      </c>
      <c r="M3" s="3">
        <v>104</v>
      </c>
      <c r="N3" s="3">
        <v>48</v>
      </c>
      <c r="O3" s="3">
        <v>63</v>
      </c>
      <c r="P3" s="3">
        <v>84</v>
      </c>
      <c r="Q3" s="3">
        <v>66</v>
      </c>
      <c r="R3" s="3">
        <v>87</v>
      </c>
      <c r="S3" s="3">
        <v>86</v>
      </c>
      <c r="T3" s="3">
        <v>54</v>
      </c>
      <c r="U3" s="3">
        <v>85</v>
      </c>
      <c r="V3" s="3">
        <v>68</v>
      </c>
      <c r="W3" s="3">
        <v>17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</row>
    <row r="4" spans="1:29" x14ac:dyDescent="0.25">
      <c r="A4" s="9"/>
      <c r="B4" s="5">
        <v>9820511880</v>
      </c>
      <c r="C4" s="2" t="s">
        <v>20</v>
      </c>
      <c r="E4" t="s">
        <v>22</v>
      </c>
      <c r="F4">
        <v>-50</v>
      </c>
      <c r="G4" s="2"/>
      <c r="H4" s="2" t="s">
        <v>16</v>
      </c>
      <c r="J4">
        <v>195</v>
      </c>
      <c r="K4">
        <v>0</v>
      </c>
      <c r="L4">
        <v>285</v>
      </c>
      <c r="M4">
        <v>0</v>
      </c>
      <c r="N4">
        <v>105</v>
      </c>
      <c r="O4">
        <v>375</v>
      </c>
      <c r="P4">
        <v>420</v>
      </c>
      <c r="Q4">
        <v>375</v>
      </c>
      <c r="R4">
        <v>225</v>
      </c>
      <c r="S4">
        <v>390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9"/>
      <c r="B5" t="s">
        <v>11</v>
      </c>
      <c r="C5" s="2" t="s">
        <v>20</v>
      </c>
      <c r="E5" t="s">
        <v>23</v>
      </c>
      <c r="F5">
        <v>0</v>
      </c>
      <c r="G5" s="2"/>
      <c r="H5" s="2" t="s">
        <v>17</v>
      </c>
      <c r="J5">
        <v>0</v>
      </c>
      <c r="K5">
        <v>0</v>
      </c>
      <c r="L5">
        <v>0</v>
      </c>
      <c r="M5">
        <v>0</v>
      </c>
      <c r="N5">
        <v>0</v>
      </c>
      <c r="O5" s="7">
        <v>525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9"/>
      <c r="B6" s="6" t="s">
        <v>12</v>
      </c>
      <c r="C6" s="2" t="s">
        <v>20</v>
      </c>
      <c r="E6" t="s">
        <v>24</v>
      </c>
      <c r="F6">
        <v>0</v>
      </c>
      <c r="G6" s="2"/>
      <c r="H6" s="2" t="s">
        <v>18</v>
      </c>
    </row>
    <row r="7" spans="1:29" x14ac:dyDescent="0.25">
      <c r="A7" s="9"/>
      <c r="B7" s="5" t="s">
        <v>13</v>
      </c>
      <c r="C7" s="2" t="s">
        <v>20</v>
      </c>
      <c r="E7" t="s">
        <v>25</v>
      </c>
      <c r="F7">
        <v>0</v>
      </c>
      <c r="G7" s="2"/>
      <c r="H7" s="2" t="s">
        <v>19</v>
      </c>
      <c r="J7" s="8">
        <f>F3+I4+I5-J3+J5+J6</f>
        <v>-98</v>
      </c>
      <c r="K7" s="8">
        <f t="shared" ref="K7:AC7" si="0">J7-K3+K5+K6</f>
        <v>-158</v>
      </c>
      <c r="L7" s="8">
        <f t="shared" si="0"/>
        <v>-213</v>
      </c>
      <c r="M7" s="8">
        <f t="shared" si="0"/>
        <v>-317</v>
      </c>
      <c r="N7" s="8">
        <f t="shared" si="0"/>
        <v>-365</v>
      </c>
      <c r="O7" s="8">
        <f t="shared" si="0"/>
        <v>97</v>
      </c>
      <c r="P7" s="8">
        <f t="shared" si="0"/>
        <v>13</v>
      </c>
      <c r="Q7" s="8">
        <f t="shared" si="0"/>
        <v>-53</v>
      </c>
      <c r="R7" s="8">
        <f t="shared" si="0"/>
        <v>-140</v>
      </c>
      <c r="S7" s="8">
        <f t="shared" si="0"/>
        <v>-226</v>
      </c>
      <c r="T7" s="8">
        <f t="shared" si="0"/>
        <v>-280</v>
      </c>
      <c r="U7" s="8">
        <f t="shared" si="0"/>
        <v>-365</v>
      </c>
      <c r="V7" s="8">
        <f t="shared" si="0"/>
        <v>-433</v>
      </c>
      <c r="W7" s="8">
        <f t="shared" si="0"/>
        <v>-450</v>
      </c>
      <c r="X7" s="8">
        <f t="shared" si="0"/>
        <v>-450</v>
      </c>
      <c r="Y7" s="8">
        <f t="shared" si="0"/>
        <v>-450</v>
      </c>
      <c r="Z7" s="8">
        <f t="shared" si="0"/>
        <v>-450</v>
      </c>
      <c r="AA7" s="8">
        <f t="shared" si="0"/>
        <v>-450</v>
      </c>
      <c r="AB7" s="8">
        <f t="shared" si="0"/>
        <v>-450</v>
      </c>
      <c r="AC7" s="8">
        <f t="shared" si="0"/>
        <v>-450</v>
      </c>
    </row>
    <row r="9" spans="1:29" x14ac:dyDescent="0.25">
      <c r="A9" s="2" t="s">
        <v>0</v>
      </c>
      <c r="B9" s="2" t="s">
        <v>14</v>
      </c>
      <c r="C9" s="2"/>
      <c r="D9" s="2"/>
      <c r="E9" s="2"/>
      <c r="F9" s="2"/>
      <c r="G9" s="2" t="s">
        <v>9</v>
      </c>
      <c r="H9" s="2"/>
      <c r="I9" s="2" t="s">
        <v>8</v>
      </c>
      <c r="J9" s="2">
        <v>11</v>
      </c>
      <c r="K9" s="2">
        <v>12</v>
      </c>
      <c r="L9" s="2">
        <v>13</v>
      </c>
      <c r="M9" s="2">
        <v>14</v>
      </c>
      <c r="N9" s="2">
        <v>15</v>
      </c>
      <c r="O9" s="2">
        <v>16</v>
      </c>
      <c r="P9" s="2">
        <v>17</v>
      </c>
      <c r="Q9" s="2">
        <v>18</v>
      </c>
      <c r="R9" s="2">
        <v>19</v>
      </c>
      <c r="S9" s="2">
        <v>20</v>
      </c>
      <c r="T9" s="2">
        <v>21</v>
      </c>
      <c r="U9" s="2">
        <v>22</v>
      </c>
      <c r="V9" s="2">
        <v>23</v>
      </c>
      <c r="W9" s="2">
        <v>24</v>
      </c>
      <c r="X9" s="2">
        <v>25</v>
      </c>
      <c r="Y9" s="2">
        <v>26</v>
      </c>
      <c r="Z9" s="2">
        <v>27</v>
      </c>
      <c r="AA9" s="2">
        <v>28</v>
      </c>
      <c r="AB9" s="2">
        <v>29</v>
      </c>
      <c r="AC9" s="2">
        <v>30</v>
      </c>
    </row>
    <row r="10" spans="1:29" x14ac:dyDescent="0.25">
      <c r="A10" s="9" t="s">
        <v>3</v>
      </c>
      <c r="B10" s="4" t="s">
        <v>10</v>
      </c>
      <c r="C10" s="2" t="s">
        <v>20</v>
      </c>
      <c r="E10" t="s">
        <v>21</v>
      </c>
      <c r="F10">
        <f>F11+F12</f>
        <v>-50</v>
      </c>
      <c r="G10" s="2">
        <f>calcFirstRunOut(J14:AC14)</f>
        <v>202011</v>
      </c>
      <c r="H10" s="2" t="s">
        <v>15</v>
      </c>
      <c r="J10" s="3">
        <v>48</v>
      </c>
      <c r="K10" s="3">
        <v>60</v>
      </c>
      <c r="L10" s="3">
        <v>55</v>
      </c>
      <c r="M10" s="3">
        <v>104</v>
      </c>
      <c r="N10" s="3">
        <v>48</v>
      </c>
      <c r="O10" s="3">
        <v>63</v>
      </c>
      <c r="P10" s="3">
        <v>85</v>
      </c>
      <c r="Q10" s="3">
        <v>66</v>
      </c>
      <c r="R10" s="3">
        <v>86</v>
      </c>
      <c r="S10" s="3">
        <v>86</v>
      </c>
      <c r="T10" s="3">
        <v>54</v>
      </c>
      <c r="U10" s="3">
        <v>85</v>
      </c>
      <c r="V10" s="3">
        <v>68</v>
      </c>
      <c r="W10" s="3">
        <v>17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</row>
    <row r="11" spans="1:29" x14ac:dyDescent="0.25">
      <c r="A11" s="9"/>
      <c r="B11" s="5">
        <v>9820554780</v>
      </c>
      <c r="C11" s="2" t="s">
        <v>20</v>
      </c>
      <c r="E11" t="s">
        <v>22</v>
      </c>
      <c r="F11">
        <v>-50</v>
      </c>
      <c r="G11" s="2"/>
      <c r="H11" s="2" t="s">
        <v>16</v>
      </c>
      <c r="J11">
        <v>120</v>
      </c>
      <c r="K11">
        <v>0</v>
      </c>
      <c r="L11">
        <v>384</v>
      </c>
      <c r="M11">
        <v>0</v>
      </c>
      <c r="N11">
        <v>90</v>
      </c>
      <c r="O11">
        <v>372</v>
      </c>
      <c r="P11">
        <v>396</v>
      </c>
      <c r="Q11">
        <v>378</v>
      </c>
      <c r="R11">
        <v>264</v>
      </c>
      <c r="S11">
        <v>354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9"/>
      <c r="B12" t="s">
        <v>11</v>
      </c>
      <c r="C12" s="2" t="s">
        <v>20</v>
      </c>
      <c r="E12" t="s">
        <v>23</v>
      </c>
      <c r="F12">
        <v>0</v>
      </c>
      <c r="G12" s="2"/>
      <c r="H12" s="2" t="s">
        <v>17</v>
      </c>
      <c r="J12">
        <v>0</v>
      </c>
      <c r="K12">
        <v>0</v>
      </c>
      <c r="L12">
        <v>0</v>
      </c>
      <c r="M12">
        <v>0</v>
      </c>
      <c r="N12">
        <v>0</v>
      </c>
      <c r="O12" s="7">
        <v>426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9"/>
      <c r="B13" s="6" t="s">
        <v>12</v>
      </c>
      <c r="C13" s="2" t="s">
        <v>20</v>
      </c>
      <c r="E13" t="s">
        <v>24</v>
      </c>
      <c r="F13">
        <v>0</v>
      </c>
      <c r="G13" s="2"/>
      <c r="H13" s="2" t="s">
        <v>18</v>
      </c>
    </row>
    <row r="14" spans="1:29" x14ac:dyDescent="0.25">
      <c r="A14" s="9"/>
      <c r="B14" s="5" t="s">
        <v>13</v>
      </c>
      <c r="C14" s="2" t="s">
        <v>20</v>
      </c>
      <c r="E14" t="s">
        <v>25</v>
      </c>
      <c r="F14">
        <v>0</v>
      </c>
      <c r="G14" s="2"/>
      <c r="H14" s="2" t="s">
        <v>19</v>
      </c>
      <c r="J14" s="8">
        <f>F10+I11+I12-J10+J12+J13</f>
        <v>-98</v>
      </c>
      <c r="K14" s="8">
        <f t="shared" ref="K14:AC14" si="1">J14-K10+K12+K13</f>
        <v>-158</v>
      </c>
      <c r="L14" s="8">
        <f t="shared" si="1"/>
        <v>-213</v>
      </c>
      <c r="M14" s="8">
        <f t="shared" si="1"/>
        <v>-317</v>
      </c>
      <c r="N14" s="8">
        <f t="shared" si="1"/>
        <v>-365</v>
      </c>
      <c r="O14" s="8">
        <f t="shared" si="1"/>
        <v>-2</v>
      </c>
      <c r="P14" s="8">
        <f t="shared" si="1"/>
        <v>-87</v>
      </c>
      <c r="Q14" s="8">
        <f t="shared" si="1"/>
        <v>-153</v>
      </c>
      <c r="R14" s="8">
        <f t="shared" si="1"/>
        <v>-239</v>
      </c>
      <c r="S14" s="8">
        <f t="shared" si="1"/>
        <v>-325</v>
      </c>
      <c r="T14" s="8">
        <f t="shared" si="1"/>
        <v>-379</v>
      </c>
      <c r="U14" s="8">
        <f t="shared" si="1"/>
        <v>-464</v>
      </c>
      <c r="V14" s="8">
        <f t="shared" si="1"/>
        <v>-532</v>
      </c>
      <c r="W14" s="8">
        <f t="shared" si="1"/>
        <v>-549</v>
      </c>
      <c r="X14" s="8">
        <f t="shared" si="1"/>
        <v>-549</v>
      </c>
      <c r="Y14" s="8">
        <f t="shared" si="1"/>
        <v>-549</v>
      </c>
      <c r="Z14" s="8">
        <f t="shared" si="1"/>
        <v>-549</v>
      </c>
      <c r="AA14" s="8">
        <f t="shared" si="1"/>
        <v>-549</v>
      </c>
      <c r="AB14" s="8">
        <f t="shared" si="1"/>
        <v>-549</v>
      </c>
      <c r="AC14" s="8">
        <f t="shared" si="1"/>
        <v>-549</v>
      </c>
    </row>
    <row r="16" spans="1:29" x14ac:dyDescent="0.25">
      <c r="A16" s="2" t="s">
        <v>0</v>
      </c>
      <c r="B16" s="2" t="s">
        <v>28</v>
      </c>
      <c r="C16" s="2"/>
      <c r="D16" s="2"/>
      <c r="E16" s="2"/>
      <c r="F16" s="2"/>
      <c r="G16" s="2" t="s">
        <v>9</v>
      </c>
      <c r="H16" s="2"/>
      <c r="I16" s="2" t="s">
        <v>8</v>
      </c>
      <c r="J16" s="2">
        <v>11</v>
      </c>
      <c r="K16" s="2">
        <v>12</v>
      </c>
      <c r="L16" s="2">
        <v>13</v>
      </c>
      <c r="M16" s="2">
        <v>14</v>
      </c>
      <c r="N16" s="2">
        <v>15</v>
      </c>
      <c r="O16" s="2">
        <v>16</v>
      </c>
      <c r="P16" s="2">
        <v>17</v>
      </c>
      <c r="Q16" s="2">
        <v>18</v>
      </c>
      <c r="R16" s="2">
        <v>19</v>
      </c>
      <c r="S16" s="2">
        <v>20</v>
      </c>
      <c r="T16" s="2">
        <v>21</v>
      </c>
      <c r="U16" s="2">
        <v>22</v>
      </c>
      <c r="V16" s="2">
        <v>23</v>
      </c>
      <c r="W16" s="2">
        <v>24</v>
      </c>
      <c r="X16" s="2">
        <v>25</v>
      </c>
      <c r="Y16" s="2">
        <v>26</v>
      </c>
      <c r="Z16" s="2">
        <v>27</v>
      </c>
      <c r="AA16" s="2">
        <v>28</v>
      </c>
      <c r="AB16" s="2">
        <v>29</v>
      </c>
      <c r="AC16" s="2">
        <v>30</v>
      </c>
    </row>
    <row r="17" spans="1:29" x14ac:dyDescent="0.25">
      <c r="A17" s="9" t="s">
        <v>3</v>
      </c>
      <c r="B17" s="4" t="s">
        <v>26</v>
      </c>
      <c r="C17" s="2" t="s">
        <v>20</v>
      </c>
      <c r="E17" t="s">
        <v>21</v>
      </c>
      <c r="F17">
        <f>F18+F19</f>
        <v>-92</v>
      </c>
      <c r="G17" s="2">
        <f>calcFirstRunOut(J21:AC21)</f>
        <v>202011</v>
      </c>
      <c r="H17" s="2" t="s">
        <v>15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4</v>
      </c>
      <c r="R17" s="3">
        <v>86</v>
      </c>
      <c r="S17" s="3">
        <v>86</v>
      </c>
      <c r="T17" s="3">
        <v>68</v>
      </c>
      <c r="U17" s="3">
        <v>85</v>
      </c>
      <c r="V17" s="3">
        <v>56</v>
      </c>
      <c r="W17" s="3">
        <v>17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</row>
    <row r="18" spans="1:29" x14ac:dyDescent="0.25">
      <c r="A18" s="9"/>
      <c r="B18" s="5">
        <v>9831600980</v>
      </c>
      <c r="C18" s="2" t="s">
        <v>20</v>
      </c>
      <c r="E18" t="s">
        <v>22</v>
      </c>
      <c r="F18">
        <v>-92</v>
      </c>
      <c r="G18" s="2"/>
      <c r="H18" s="2" t="s">
        <v>16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1632</v>
      </c>
      <c r="U18">
        <v>288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9"/>
      <c r="B19" t="s">
        <v>11</v>
      </c>
      <c r="C19" s="2" t="s">
        <v>20</v>
      </c>
      <c r="E19" t="s">
        <v>23</v>
      </c>
      <c r="F19">
        <v>0</v>
      </c>
      <c r="G19" s="2"/>
      <c r="H19" s="2" t="s">
        <v>17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 s="7">
        <v>0</v>
      </c>
      <c r="S19" s="7">
        <v>0</v>
      </c>
      <c r="T19" s="7">
        <v>1920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9"/>
      <c r="B20" s="6" t="s">
        <v>12</v>
      </c>
      <c r="C20" s="2" t="s">
        <v>20</v>
      </c>
      <c r="E20" t="s">
        <v>24</v>
      </c>
      <c r="F20">
        <v>0</v>
      </c>
      <c r="G20" s="2"/>
      <c r="H20" s="2" t="s">
        <v>18</v>
      </c>
    </row>
    <row r="21" spans="1:29" x14ac:dyDescent="0.25">
      <c r="A21" s="9"/>
      <c r="B21" s="5" t="s">
        <v>27</v>
      </c>
      <c r="C21" s="2" t="s">
        <v>20</v>
      </c>
      <c r="E21" t="s">
        <v>25</v>
      </c>
      <c r="F21">
        <v>0</v>
      </c>
      <c r="G21" s="2"/>
      <c r="H21" s="2" t="s">
        <v>19</v>
      </c>
      <c r="J21" s="8">
        <f>F17+I18+I19-J17+J19+J20</f>
        <v>-92</v>
      </c>
      <c r="K21" s="8">
        <f t="shared" ref="K21:AC21" si="2">J21-K17+K19+K20</f>
        <v>-92</v>
      </c>
      <c r="L21" s="8">
        <f t="shared" si="2"/>
        <v>-92</v>
      </c>
      <c r="M21" s="8">
        <f t="shared" si="2"/>
        <v>-92</v>
      </c>
      <c r="N21" s="8">
        <f t="shared" si="2"/>
        <v>-92</v>
      </c>
      <c r="O21" s="8">
        <f t="shared" si="2"/>
        <v>-92</v>
      </c>
      <c r="P21" s="8">
        <f t="shared" si="2"/>
        <v>-92</v>
      </c>
      <c r="Q21" s="8">
        <f t="shared" si="2"/>
        <v>-96</v>
      </c>
      <c r="R21" s="8">
        <f t="shared" si="2"/>
        <v>-182</v>
      </c>
      <c r="S21" s="8">
        <f t="shared" si="2"/>
        <v>-268</v>
      </c>
      <c r="T21" s="8">
        <f t="shared" si="2"/>
        <v>1584</v>
      </c>
      <c r="U21" s="8">
        <f t="shared" si="2"/>
        <v>1499</v>
      </c>
      <c r="V21" s="8">
        <f t="shared" si="2"/>
        <v>1443</v>
      </c>
      <c r="W21" s="8">
        <f t="shared" si="2"/>
        <v>1426</v>
      </c>
      <c r="X21" s="8">
        <f t="shared" si="2"/>
        <v>1426</v>
      </c>
      <c r="Y21" s="8">
        <f t="shared" si="2"/>
        <v>1426</v>
      </c>
      <c r="Z21" s="8">
        <f t="shared" si="2"/>
        <v>1426</v>
      </c>
      <c r="AA21" s="8">
        <f t="shared" si="2"/>
        <v>1426</v>
      </c>
      <c r="AB21" s="8">
        <f t="shared" si="2"/>
        <v>1426</v>
      </c>
      <c r="AC21" s="8">
        <f t="shared" si="2"/>
        <v>1426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C35"/>
  <sheetViews>
    <sheetView showGridLines="0" tabSelected="1" topLeftCell="A1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31</v>
      </c>
      <c r="B1" t="s">
        <v>7</v>
      </c>
    </row>
    <row r="2" spans="1:29" x14ac:dyDescent="0.25">
      <c r="A2" s="2" t="s">
        <v>0</v>
      </c>
      <c r="B2" s="2" t="s">
        <v>34</v>
      </c>
      <c r="C2" s="2"/>
      <c r="D2" s="2"/>
      <c r="E2" s="2"/>
      <c r="F2" s="2"/>
      <c r="G2" s="2" t="s">
        <v>9</v>
      </c>
      <c r="H2" s="2"/>
      <c r="I2" s="2" t="s">
        <v>8</v>
      </c>
      <c r="J2" s="2">
        <v>12</v>
      </c>
      <c r="K2" s="2">
        <v>13</v>
      </c>
      <c r="L2" s="2">
        <v>14</v>
      </c>
      <c r="M2" s="2">
        <v>15</v>
      </c>
      <c r="N2" s="2">
        <v>16</v>
      </c>
      <c r="O2" s="2">
        <v>17</v>
      </c>
      <c r="P2" s="2">
        <v>18</v>
      </c>
      <c r="Q2" s="2">
        <v>19</v>
      </c>
      <c r="R2" s="2">
        <v>20</v>
      </c>
      <c r="S2" s="2">
        <v>21</v>
      </c>
      <c r="T2" s="2">
        <v>22</v>
      </c>
      <c r="U2" s="2">
        <v>23</v>
      </c>
      <c r="V2" s="2">
        <v>24</v>
      </c>
      <c r="W2" s="2">
        <v>25</v>
      </c>
      <c r="X2" s="2">
        <v>26</v>
      </c>
      <c r="Y2" s="2">
        <v>27</v>
      </c>
      <c r="Z2" s="2">
        <v>28</v>
      </c>
      <c r="AA2" s="2">
        <v>29</v>
      </c>
      <c r="AB2" s="2">
        <v>30</v>
      </c>
      <c r="AC2" s="2">
        <v>31</v>
      </c>
    </row>
    <row r="3" spans="1:29" x14ac:dyDescent="0.25">
      <c r="A3" s="9" t="s">
        <v>3</v>
      </c>
      <c r="B3" s="4" t="s">
        <v>32</v>
      </c>
      <c r="C3" s="2" t="s">
        <v>20</v>
      </c>
      <c r="E3" t="s">
        <v>21</v>
      </c>
      <c r="F3">
        <f>F4+F5</f>
        <v>-135</v>
      </c>
      <c r="G3" s="2">
        <f>calcFirstRunOut(J7:AC7)</f>
        <v>202012</v>
      </c>
      <c r="H3" s="2" t="s">
        <v>15</v>
      </c>
      <c r="J3" s="3">
        <v>67</v>
      </c>
      <c r="K3" s="3">
        <v>58</v>
      </c>
      <c r="L3" s="3">
        <v>56</v>
      </c>
      <c r="M3" s="3">
        <v>46</v>
      </c>
      <c r="N3" s="3">
        <v>47</v>
      </c>
      <c r="O3" s="3">
        <v>80</v>
      </c>
      <c r="P3" s="3">
        <v>68</v>
      </c>
      <c r="Q3" s="3">
        <v>85</v>
      </c>
      <c r="R3" s="3">
        <v>74</v>
      </c>
      <c r="S3" s="3">
        <v>68</v>
      </c>
      <c r="T3" s="3">
        <v>85</v>
      </c>
      <c r="U3" s="3">
        <v>68</v>
      </c>
      <c r="V3" s="3">
        <v>86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</row>
    <row r="4" spans="1:29" x14ac:dyDescent="0.25">
      <c r="A4" s="9"/>
      <c r="B4" s="5">
        <v>9820499380</v>
      </c>
      <c r="C4" s="2" t="s">
        <v>20</v>
      </c>
      <c r="E4" t="s">
        <v>22</v>
      </c>
      <c r="F4">
        <v>-135</v>
      </c>
      <c r="G4" s="2"/>
      <c r="H4" s="2" t="s">
        <v>16</v>
      </c>
      <c r="J4">
        <v>164</v>
      </c>
      <c r="K4">
        <v>0</v>
      </c>
      <c r="L4">
        <v>144</v>
      </c>
      <c r="M4">
        <v>240</v>
      </c>
      <c r="N4">
        <v>480</v>
      </c>
      <c r="O4">
        <v>0</v>
      </c>
      <c r="P4">
        <v>90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9"/>
      <c r="B5" t="s">
        <v>11</v>
      </c>
      <c r="C5" s="2" t="s">
        <v>20</v>
      </c>
      <c r="E5" t="s">
        <v>23</v>
      </c>
      <c r="F5">
        <v>0</v>
      </c>
      <c r="G5" s="2"/>
      <c r="H5" s="2" t="s">
        <v>17</v>
      </c>
      <c r="J5">
        <v>0</v>
      </c>
      <c r="K5" s="7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9"/>
      <c r="B6" s="6" t="s">
        <v>12</v>
      </c>
      <c r="C6" s="2" t="s">
        <v>20</v>
      </c>
      <c r="E6" t="s">
        <v>24</v>
      </c>
      <c r="F6">
        <v>0</v>
      </c>
      <c r="G6" s="2"/>
      <c r="H6" s="2" t="s">
        <v>18</v>
      </c>
    </row>
    <row r="7" spans="1:29" x14ac:dyDescent="0.25">
      <c r="A7" s="9"/>
      <c r="B7" s="5" t="s">
        <v>33</v>
      </c>
      <c r="C7" s="2" t="s">
        <v>20</v>
      </c>
      <c r="E7" t="s">
        <v>25</v>
      </c>
      <c r="F7">
        <v>0</v>
      </c>
      <c r="G7" s="2"/>
      <c r="H7" s="2" t="s">
        <v>19</v>
      </c>
      <c r="J7" s="8">
        <f>F3+I4+I5-J3+J5+J6</f>
        <v>-202</v>
      </c>
      <c r="K7" s="8">
        <f>J7-K3+K5+K6</f>
        <v>-260</v>
      </c>
      <c r="L7" s="8">
        <f>K7-L3+L5+L6</f>
        <v>-316</v>
      </c>
      <c r="M7" s="8">
        <f>L7-M3+M5+M6</f>
        <v>-362</v>
      </c>
      <c r="N7" s="8">
        <f>M7-N3+N5+N6</f>
        <v>-409</v>
      </c>
      <c r="O7" s="8">
        <f>N7-O3+O5+O6</f>
        <v>-489</v>
      </c>
      <c r="P7" s="8">
        <f>O7-P3+P5+P6</f>
        <v>-557</v>
      </c>
      <c r="Q7" s="8">
        <f>P7-Q3+Q5+Q6</f>
        <v>-642</v>
      </c>
      <c r="R7" s="8">
        <f>Q7-R3+R5+R6</f>
        <v>-716</v>
      </c>
      <c r="S7" s="8">
        <f>R7-S3+S5+S6</f>
        <v>-784</v>
      </c>
      <c r="T7" s="8">
        <f>S7-T3+T5+T6</f>
        <v>-869</v>
      </c>
      <c r="U7" s="8">
        <f>T7-U3+U5+U6</f>
        <v>-937</v>
      </c>
      <c r="V7" s="8">
        <f>U7-V3+V5+V6</f>
        <v>-1023</v>
      </c>
      <c r="W7" s="8">
        <f>V7-W3+W5+W6</f>
        <v>-1023</v>
      </c>
      <c r="X7" s="8">
        <f>W7-X3+X5+X6</f>
        <v>-1023</v>
      </c>
      <c r="Y7" s="8">
        <f>X7-Y3+Y5+Y6</f>
        <v>-1023</v>
      </c>
      <c r="Z7" s="8">
        <f>Y7-Z3+Z5+Z6</f>
        <v>-1023</v>
      </c>
      <c r="AA7" s="8">
        <f>Z7-AA3+AA5+AA6</f>
        <v>-1023</v>
      </c>
      <c r="AB7" s="8">
        <f>AA7-AB3+AB5+AB6</f>
        <v>-1023</v>
      </c>
      <c r="AC7" s="8">
        <f>AB7-AC3+AC5+AC6</f>
        <v>-1023</v>
      </c>
    </row>
    <row r="9" spans="1:29" x14ac:dyDescent="0.25">
      <c r="A9" s="2" t="s">
        <v>0</v>
      </c>
      <c r="B9" s="2" t="s">
        <v>14</v>
      </c>
      <c r="C9" s="2"/>
      <c r="D9" s="2"/>
      <c r="E9" s="2"/>
      <c r="F9" s="2"/>
      <c r="G9" s="2" t="s">
        <v>9</v>
      </c>
      <c r="H9" s="2"/>
      <c r="I9" s="2" t="s">
        <v>8</v>
      </c>
      <c r="J9" s="2">
        <v>12</v>
      </c>
      <c r="K9" s="2">
        <v>13</v>
      </c>
      <c r="L9" s="2">
        <v>14</v>
      </c>
      <c r="M9" s="2">
        <v>15</v>
      </c>
      <c r="N9" s="2">
        <v>16</v>
      </c>
      <c r="O9" s="2">
        <v>17</v>
      </c>
      <c r="P9" s="2">
        <v>18</v>
      </c>
      <c r="Q9" s="2">
        <v>19</v>
      </c>
      <c r="R9" s="2">
        <v>20</v>
      </c>
      <c r="S9" s="2">
        <v>21</v>
      </c>
      <c r="T9" s="2">
        <v>22</v>
      </c>
      <c r="U9" s="2">
        <v>23</v>
      </c>
      <c r="V9" s="2">
        <v>24</v>
      </c>
      <c r="W9" s="2">
        <v>25</v>
      </c>
      <c r="X9" s="2">
        <v>26</v>
      </c>
      <c r="Y9" s="2">
        <v>27</v>
      </c>
      <c r="Z9" s="2">
        <v>28</v>
      </c>
      <c r="AA9" s="2">
        <v>29</v>
      </c>
      <c r="AB9" s="2">
        <v>30</v>
      </c>
      <c r="AC9" s="2">
        <v>31</v>
      </c>
    </row>
    <row r="10" spans="1:29" x14ac:dyDescent="0.25">
      <c r="A10" s="9" t="s">
        <v>3</v>
      </c>
      <c r="B10" s="4" t="s">
        <v>10</v>
      </c>
      <c r="C10" s="2" t="s">
        <v>20</v>
      </c>
      <c r="E10" t="s">
        <v>21</v>
      </c>
      <c r="F10">
        <f>F11+F12</f>
        <v>-97</v>
      </c>
      <c r="G10" s="2">
        <f>calcFirstRunOut(J14:AC14)</f>
        <v>202012</v>
      </c>
      <c r="H10" s="2" t="s">
        <v>15</v>
      </c>
      <c r="J10" s="3">
        <v>61</v>
      </c>
      <c r="K10" s="3">
        <v>60</v>
      </c>
      <c r="L10" s="3">
        <v>55</v>
      </c>
      <c r="M10" s="3">
        <v>45</v>
      </c>
      <c r="N10" s="3">
        <v>48</v>
      </c>
      <c r="O10" s="3">
        <v>80</v>
      </c>
      <c r="P10" s="3">
        <v>68</v>
      </c>
      <c r="Q10" s="3">
        <v>85</v>
      </c>
      <c r="R10" s="3">
        <v>87</v>
      </c>
      <c r="S10" s="3">
        <v>68</v>
      </c>
      <c r="T10" s="3">
        <v>72</v>
      </c>
      <c r="U10" s="3">
        <v>69</v>
      </c>
      <c r="V10" s="3">
        <v>85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</row>
    <row r="11" spans="1:29" x14ac:dyDescent="0.25">
      <c r="A11" s="9"/>
      <c r="B11" s="5">
        <v>9820511880</v>
      </c>
      <c r="C11" s="2" t="s">
        <v>20</v>
      </c>
      <c r="E11" t="s">
        <v>22</v>
      </c>
      <c r="F11">
        <v>-97</v>
      </c>
      <c r="G11" s="2"/>
      <c r="H11" s="2" t="s">
        <v>16</v>
      </c>
      <c r="J11">
        <v>0</v>
      </c>
      <c r="K11">
        <v>285</v>
      </c>
      <c r="L11">
        <v>0</v>
      </c>
      <c r="M11">
        <v>105</v>
      </c>
      <c r="N11">
        <v>375</v>
      </c>
      <c r="O11">
        <v>420</v>
      </c>
      <c r="P11">
        <v>375</v>
      </c>
      <c r="Q11">
        <v>225</v>
      </c>
      <c r="R11">
        <v>390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9"/>
      <c r="B12" t="s">
        <v>11</v>
      </c>
      <c r="C12" s="2" t="s">
        <v>20</v>
      </c>
      <c r="E12" t="s">
        <v>23</v>
      </c>
      <c r="F12">
        <v>0</v>
      </c>
      <c r="G12" s="2"/>
      <c r="H12" s="2" t="s">
        <v>17</v>
      </c>
      <c r="J12">
        <v>0</v>
      </c>
      <c r="K12">
        <v>0</v>
      </c>
      <c r="L12">
        <v>0</v>
      </c>
      <c r="M12">
        <v>0</v>
      </c>
      <c r="N12" s="7">
        <v>525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9"/>
      <c r="B13" s="6" t="s">
        <v>12</v>
      </c>
      <c r="C13" s="2" t="s">
        <v>20</v>
      </c>
      <c r="E13" t="s">
        <v>24</v>
      </c>
      <c r="F13">
        <v>148</v>
      </c>
      <c r="G13" s="2"/>
      <c r="H13" s="2" t="s">
        <v>18</v>
      </c>
    </row>
    <row r="14" spans="1:29" x14ac:dyDescent="0.25">
      <c r="A14" s="9"/>
      <c r="B14" s="5" t="s">
        <v>13</v>
      </c>
      <c r="C14" s="2" t="s">
        <v>20</v>
      </c>
      <c r="E14" t="s">
        <v>25</v>
      </c>
      <c r="F14">
        <v>0</v>
      </c>
      <c r="G14" s="2"/>
      <c r="H14" s="2" t="s">
        <v>19</v>
      </c>
      <c r="J14" s="8">
        <f>F10+I11+I12-J10+J12+J13</f>
        <v>-158</v>
      </c>
      <c r="K14" s="8">
        <f>J14-K10+K12+K13</f>
        <v>-218</v>
      </c>
      <c r="L14" s="8">
        <f>K14-L10+L12+L13</f>
        <v>-273</v>
      </c>
      <c r="M14" s="8">
        <f>L14-M10+M12+M13</f>
        <v>-318</v>
      </c>
      <c r="N14" s="8">
        <f>M14-N10+N12+N13</f>
        <v>159</v>
      </c>
      <c r="O14" s="8">
        <f>N14-O10+O12+O13</f>
        <v>79</v>
      </c>
      <c r="P14" s="8">
        <f>O14-P10+P12+P13</f>
        <v>11</v>
      </c>
      <c r="Q14" s="8">
        <f>P14-Q10+Q12+Q13</f>
        <v>-74</v>
      </c>
      <c r="R14" s="8">
        <f>Q14-R10+R12+R13</f>
        <v>-161</v>
      </c>
      <c r="S14" s="8">
        <f>R14-S10+S12+S13</f>
        <v>-229</v>
      </c>
      <c r="T14" s="8">
        <f>S14-T10+T12+T13</f>
        <v>-301</v>
      </c>
      <c r="U14" s="8">
        <f>T14-U10+U12+U13</f>
        <v>-370</v>
      </c>
      <c r="V14" s="8">
        <f>U14-V10+V12+V13</f>
        <v>-455</v>
      </c>
      <c r="W14" s="8">
        <f>V14-W10+W12+W13</f>
        <v>-455</v>
      </c>
      <c r="X14" s="8">
        <f>W14-X10+X12+X13</f>
        <v>-455</v>
      </c>
      <c r="Y14" s="8">
        <f>X14-Y10+Y12+Y13</f>
        <v>-455</v>
      </c>
      <c r="Z14" s="8">
        <f>Y14-Z10+Z12+Z13</f>
        <v>-455</v>
      </c>
      <c r="AA14" s="8">
        <f>Z14-AA10+AA12+AA13</f>
        <v>-455</v>
      </c>
      <c r="AB14" s="8">
        <f>AA14-AB10+AB12+AB13</f>
        <v>-455</v>
      </c>
      <c r="AC14" s="8">
        <f>AB14-AC10+AC12+AC13</f>
        <v>-455</v>
      </c>
    </row>
    <row r="16" spans="1:29" x14ac:dyDescent="0.25">
      <c r="A16" s="2" t="s">
        <v>0</v>
      </c>
      <c r="B16" s="2" t="s">
        <v>14</v>
      </c>
      <c r="C16" s="2"/>
      <c r="D16" s="2"/>
      <c r="E16" s="2"/>
      <c r="F16" s="2"/>
      <c r="G16" s="2" t="s">
        <v>9</v>
      </c>
      <c r="H16" s="2"/>
      <c r="I16" s="2" t="s">
        <v>8</v>
      </c>
      <c r="J16" s="2">
        <v>12</v>
      </c>
      <c r="K16" s="2">
        <v>13</v>
      </c>
      <c r="L16" s="2">
        <v>14</v>
      </c>
      <c r="M16" s="2">
        <v>15</v>
      </c>
      <c r="N16" s="2">
        <v>16</v>
      </c>
      <c r="O16" s="2">
        <v>17</v>
      </c>
      <c r="P16" s="2">
        <v>18</v>
      </c>
      <c r="Q16" s="2">
        <v>19</v>
      </c>
      <c r="R16" s="2">
        <v>20</v>
      </c>
      <c r="S16" s="2">
        <v>21</v>
      </c>
      <c r="T16" s="2">
        <v>22</v>
      </c>
      <c r="U16" s="2">
        <v>23</v>
      </c>
      <c r="V16" s="2">
        <v>24</v>
      </c>
      <c r="W16" s="2">
        <v>25</v>
      </c>
      <c r="X16" s="2">
        <v>26</v>
      </c>
      <c r="Y16" s="2">
        <v>27</v>
      </c>
      <c r="Z16" s="2">
        <v>28</v>
      </c>
      <c r="AA16" s="2">
        <v>29</v>
      </c>
      <c r="AB16" s="2">
        <v>30</v>
      </c>
      <c r="AC16" s="2">
        <v>31</v>
      </c>
    </row>
    <row r="17" spans="1:29" x14ac:dyDescent="0.25">
      <c r="A17" s="9" t="s">
        <v>3</v>
      </c>
      <c r="B17" s="4" t="s">
        <v>10</v>
      </c>
      <c r="C17" s="2" t="s">
        <v>20</v>
      </c>
      <c r="E17" t="s">
        <v>21</v>
      </c>
      <c r="F17">
        <f>F18+F19</f>
        <v>312</v>
      </c>
      <c r="G17" s="2">
        <f>calcFirstRunOut(J21:AC21)</f>
        <v>202023</v>
      </c>
      <c r="H17" s="2" t="s">
        <v>15</v>
      </c>
      <c r="J17" s="3">
        <v>61</v>
      </c>
      <c r="K17" s="3">
        <v>61</v>
      </c>
      <c r="L17" s="3">
        <v>54</v>
      </c>
      <c r="M17" s="3">
        <v>46</v>
      </c>
      <c r="N17" s="3">
        <v>47</v>
      </c>
      <c r="O17" s="3">
        <v>80</v>
      </c>
      <c r="P17" s="3">
        <v>68</v>
      </c>
      <c r="Q17" s="3">
        <v>86</v>
      </c>
      <c r="R17" s="3">
        <v>87</v>
      </c>
      <c r="S17" s="3">
        <v>68</v>
      </c>
      <c r="T17" s="3">
        <v>71</v>
      </c>
      <c r="U17" s="3">
        <v>68</v>
      </c>
      <c r="V17" s="3">
        <v>85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</row>
    <row r="18" spans="1:29" x14ac:dyDescent="0.25">
      <c r="A18" s="9"/>
      <c r="B18" s="5">
        <v>9820554780</v>
      </c>
      <c r="C18" s="2" t="s">
        <v>20</v>
      </c>
      <c r="E18" t="s">
        <v>22</v>
      </c>
      <c r="F18">
        <v>312</v>
      </c>
      <c r="G18" s="2"/>
      <c r="H18" s="2" t="s">
        <v>16</v>
      </c>
      <c r="J18">
        <v>0</v>
      </c>
      <c r="K18">
        <v>384</v>
      </c>
      <c r="L18">
        <v>0</v>
      </c>
      <c r="M18">
        <v>90</v>
      </c>
      <c r="N18">
        <v>372</v>
      </c>
      <c r="O18">
        <v>396</v>
      </c>
      <c r="P18">
        <v>378</v>
      </c>
      <c r="Q18">
        <v>264</v>
      </c>
      <c r="R18">
        <v>354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9"/>
      <c r="B19" t="s">
        <v>11</v>
      </c>
      <c r="C19" s="2" t="s">
        <v>20</v>
      </c>
      <c r="E19" t="s">
        <v>23</v>
      </c>
      <c r="F19">
        <v>0</v>
      </c>
      <c r="G19" s="2"/>
      <c r="H19" s="2" t="s">
        <v>17</v>
      </c>
      <c r="J19">
        <v>0</v>
      </c>
      <c r="K19">
        <v>0</v>
      </c>
      <c r="L19">
        <v>0</v>
      </c>
      <c r="M19">
        <v>0</v>
      </c>
      <c r="N19" s="7">
        <v>426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9"/>
      <c r="B20" s="6" t="s">
        <v>12</v>
      </c>
      <c r="C20" s="2" t="s">
        <v>20</v>
      </c>
      <c r="E20" t="s">
        <v>24</v>
      </c>
      <c r="F20">
        <v>82</v>
      </c>
      <c r="G20" s="2"/>
      <c r="H20" s="2" t="s">
        <v>18</v>
      </c>
    </row>
    <row r="21" spans="1:29" x14ac:dyDescent="0.25">
      <c r="A21" s="9"/>
      <c r="B21" s="5" t="s">
        <v>13</v>
      </c>
      <c r="C21" s="2" t="s">
        <v>20</v>
      </c>
      <c r="E21" t="s">
        <v>25</v>
      </c>
      <c r="F21">
        <v>0</v>
      </c>
      <c r="G21" s="2"/>
      <c r="H21" s="2" t="s">
        <v>19</v>
      </c>
      <c r="J21" s="8">
        <f>F17+I18+I19-J17+J19+J20</f>
        <v>251</v>
      </c>
      <c r="K21" s="8">
        <f>J21-K17+K19+K20</f>
        <v>190</v>
      </c>
      <c r="L21" s="8">
        <f>K21-L17+L19+L20</f>
        <v>136</v>
      </c>
      <c r="M21" s="8">
        <f>L21-M17+M19+M20</f>
        <v>90</v>
      </c>
      <c r="N21" s="8">
        <f>M21-N17+N19+N20</f>
        <v>469</v>
      </c>
      <c r="O21" s="8">
        <f>N21-O17+O19+O20</f>
        <v>389</v>
      </c>
      <c r="P21" s="8">
        <f>O21-P17+P19+P20</f>
        <v>321</v>
      </c>
      <c r="Q21" s="8">
        <f>P21-Q17+Q19+Q20</f>
        <v>235</v>
      </c>
      <c r="R21" s="8">
        <f>Q21-R17+R19+R20</f>
        <v>148</v>
      </c>
      <c r="S21" s="8">
        <f>R21-S17+S19+S20</f>
        <v>80</v>
      </c>
      <c r="T21" s="8">
        <f>S21-T17+T19+T20</f>
        <v>9</v>
      </c>
      <c r="U21" s="8">
        <f>T21-U17+U19+U20</f>
        <v>-59</v>
      </c>
      <c r="V21" s="8">
        <f>U21-V17+V19+V20</f>
        <v>-144</v>
      </c>
      <c r="W21" s="8">
        <f>V21-W17+W19+W20</f>
        <v>-144</v>
      </c>
      <c r="X21" s="8">
        <f>W21-X17+X19+X20</f>
        <v>-144</v>
      </c>
      <c r="Y21" s="8">
        <f>X21-Y17+Y19+Y20</f>
        <v>-144</v>
      </c>
      <c r="Z21" s="8">
        <f>Y21-Z17+Z19+Z20</f>
        <v>-144</v>
      </c>
      <c r="AA21" s="8">
        <f>Z21-AA17+AA19+AA20</f>
        <v>-144</v>
      </c>
      <c r="AB21" s="8">
        <f>AA21-AB17+AB19+AB20</f>
        <v>-144</v>
      </c>
      <c r="AC21" s="8">
        <f>AB21-AC17+AC19+AC20</f>
        <v>-144</v>
      </c>
    </row>
    <row r="23" spans="1:29" x14ac:dyDescent="0.25">
      <c r="A23" s="2" t="s">
        <v>0</v>
      </c>
      <c r="B23" s="2" t="s">
        <v>37</v>
      </c>
      <c r="C23" s="2"/>
      <c r="D23" s="2"/>
      <c r="E23" s="2"/>
      <c r="F23" s="2"/>
      <c r="G23" s="2" t="s">
        <v>9</v>
      </c>
      <c r="H23" s="2"/>
      <c r="I23" s="2" t="s">
        <v>8</v>
      </c>
      <c r="J23" s="2">
        <v>12</v>
      </c>
      <c r="K23" s="2">
        <v>13</v>
      </c>
      <c r="L23" s="2">
        <v>14</v>
      </c>
      <c r="M23" s="2">
        <v>15</v>
      </c>
      <c r="N23" s="2">
        <v>16</v>
      </c>
      <c r="O23" s="2">
        <v>17</v>
      </c>
      <c r="P23" s="2">
        <v>18</v>
      </c>
      <c r="Q23" s="2">
        <v>19</v>
      </c>
      <c r="R23" s="2">
        <v>20</v>
      </c>
      <c r="S23" s="2">
        <v>21</v>
      </c>
      <c r="T23" s="2">
        <v>22</v>
      </c>
      <c r="U23" s="2">
        <v>23</v>
      </c>
      <c r="V23" s="2">
        <v>24</v>
      </c>
      <c r="W23" s="2">
        <v>25</v>
      </c>
      <c r="X23" s="2">
        <v>26</v>
      </c>
      <c r="Y23" s="2">
        <v>27</v>
      </c>
      <c r="Z23" s="2">
        <v>28</v>
      </c>
      <c r="AA23" s="2">
        <v>29</v>
      </c>
      <c r="AB23" s="2">
        <v>30</v>
      </c>
      <c r="AC23" s="2">
        <v>31</v>
      </c>
    </row>
    <row r="24" spans="1:29" x14ac:dyDescent="0.25">
      <c r="A24" s="9" t="s">
        <v>3</v>
      </c>
      <c r="B24" s="4" t="s">
        <v>35</v>
      </c>
      <c r="C24" s="2" t="s">
        <v>20</v>
      </c>
      <c r="E24" t="s">
        <v>21</v>
      </c>
      <c r="F24">
        <f>F25+F26</f>
        <v>-129</v>
      </c>
      <c r="G24" s="2">
        <f>calcFirstRunOut(J28:AC28)</f>
        <v>202012</v>
      </c>
      <c r="H24" s="2" t="s">
        <v>15</v>
      </c>
      <c r="J24" s="3">
        <v>61</v>
      </c>
      <c r="K24" s="3">
        <v>61</v>
      </c>
      <c r="L24" s="3">
        <v>54</v>
      </c>
      <c r="M24" s="3">
        <v>45</v>
      </c>
      <c r="N24" s="3">
        <v>48</v>
      </c>
      <c r="O24" s="3">
        <v>80</v>
      </c>
      <c r="P24" s="3">
        <v>68</v>
      </c>
      <c r="Q24" s="3">
        <v>85</v>
      </c>
      <c r="R24" s="3">
        <v>87</v>
      </c>
      <c r="S24" s="3">
        <v>69</v>
      </c>
      <c r="T24" s="3">
        <v>73</v>
      </c>
      <c r="U24" s="3">
        <v>68</v>
      </c>
      <c r="V24" s="3">
        <v>85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</row>
    <row r="25" spans="1:29" x14ac:dyDescent="0.25">
      <c r="A25" s="9"/>
      <c r="B25" s="5">
        <v>9833032280</v>
      </c>
      <c r="C25" s="2" t="s">
        <v>20</v>
      </c>
      <c r="E25" t="s">
        <v>22</v>
      </c>
      <c r="F25">
        <v>-129</v>
      </c>
      <c r="G25" s="2"/>
      <c r="H25" s="2" t="s">
        <v>16</v>
      </c>
      <c r="J25">
        <v>0</v>
      </c>
      <c r="K25">
        <v>0</v>
      </c>
      <c r="L25">
        <v>585</v>
      </c>
      <c r="M25">
        <v>205</v>
      </c>
      <c r="N25">
        <v>375</v>
      </c>
      <c r="O25">
        <v>310</v>
      </c>
      <c r="P25">
        <v>625</v>
      </c>
      <c r="Q25">
        <v>450</v>
      </c>
      <c r="R25">
        <v>305</v>
      </c>
      <c r="S25">
        <v>505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9"/>
      <c r="B26" t="s">
        <v>11</v>
      </c>
      <c r="C26" s="2" t="s">
        <v>20</v>
      </c>
      <c r="E26" t="s">
        <v>23</v>
      </c>
      <c r="F26">
        <v>0</v>
      </c>
      <c r="G26" s="2"/>
      <c r="H26" s="2" t="s">
        <v>17</v>
      </c>
      <c r="J26">
        <v>0</v>
      </c>
      <c r="K26" s="7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800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9"/>
      <c r="B27" s="6" t="s">
        <v>12</v>
      </c>
      <c r="C27" s="2" t="s">
        <v>20</v>
      </c>
      <c r="E27" t="s">
        <v>24</v>
      </c>
      <c r="F27">
        <v>0</v>
      </c>
      <c r="G27" s="2"/>
      <c r="H27" s="2" t="s">
        <v>18</v>
      </c>
    </row>
    <row r="28" spans="1:29" x14ac:dyDescent="0.25">
      <c r="A28" s="9"/>
      <c r="B28" s="5" t="s">
        <v>36</v>
      </c>
      <c r="C28" s="2" t="s">
        <v>20</v>
      </c>
      <c r="E28" t="s">
        <v>25</v>
      </c>
      <c r="F28">
        <v>0</v>
      </c>
      <c r="G28" s="2"/>
      <c r="H28" s="2" t="s">
        <v>19</v>
      </c>
      <c r="J28" s="8">
        <f>F24+I25+I26-J24+J26+J27</f>
        <v>-190</v>
      </c>
      <c r="K28" s="8">
        <f>J28-K24+K26+K27</f>
        <v>-251</v>
      </c>
      <c r="L28" s="8">
        <f>K28-L24+L26+L27</f>
        <v>-305</v>
      </c>
      <c r="M28" s="8">
        <f>L28-M24+M26+M27</f>
        <v>-350</v>
      </c>
      <c r="N28" s="8">
        <f>M28-N24+N26+N27</f>
        <v>-398</v>
      </c>
      <c r="O28" s="8">
        <f>N28-O24+O26+O27</f>
        <v>-478</v>
      </c>
      <c r="P28" s="8">
        <f>O28-P24+P26+P27</f>
        <v>-546</v>
      </c>
      <c r="Q28" s="8">
        <f>P28-Q24+Q26+Q27</f>
        <v>-631</v>
      </c>
      <c r="R28" s="8">
        <f>Q28-R24+R26+R27</f>
        <v>-718</v>
      </c>
      <c r="S28" s="8">
        <f>R28-S24+S26+S27</f>
        <v>13</v>
      </c>
      <c r="T28" s="8">
        <f>S28-T24+T26+T27</f>
        <v>-60</v>
      </c>
      <c r="U28" s="8">
        <f>T28-U24+U26+U27</f>
        <v>-128</v>
      </c>
      <c r="V28" s="8">
        <f>U28-V24+V26+V27</f>
        <v>-213</v>
      </c>
      <c r="W28" s="8">
        <f>V28-W24+W26+W27</f>
        <v>-213</v>
      </c>
      <c r="X28" s="8">
        <f>W28-X24+X26+X27</f>
        <v>-213</v>
      </c>
      <c r="Y28" s="8">
        <f>X28-Y24+Y26+Y27</f>
        <v>-213</v>
      </c>
      <c r="Z28" s="8">
        <f>Y28-Z24+Z26+Z27</f>
        <v>-213</v>
      </c>
      <c r="AA28" s="8">
        <f>Z28-AA24+AA26+AA27</f>
        <v>-213</v>
      </c>
      <c r="AB28" s="8">
        <f>AA28-AB24+AB26+AB27</f>
        <v>-213</v>
      </c>
      <c r="AC28" s="8">
        <f>AB28-AC24+AC26+AC27</f>
        <v>-213</v>
      </c>
    </row>
    <row r="30" spans="1:29" x14ac:dyDescent="0.25">
      <c r="A30" s="2" t="s">
        <v>0</v>
      </c>
      <c r="B30" s="2" t="s">
        <v>28</v>
      </c>
      <c r="C30" s="2"/>
      <c r="D30" s="2"/>
      <c r="E30" s="2"/>
      <c r="F30" s="2"/>
      <c r="G30" s="2" t="s">
        <v>9</v>
      </c>
      <c r="H30" s="2"/>
      <c r="I30" s="2" t="s">
        <v>8</v>
      </c>
      <c r="J30" s="2">
        <v>12</v>
      </c>
      <c r="K30" s="2">
        <v>13</v>
      </c>
      <c r="L30" s="2">
        <v>14</v>
      </c>
      <c r="M30" s="2">
        <v>15</v>
      </c>
      <c r="N30" s="2">
        <v>16</v>
      </c>
      <c r="O30" s="2">
        <v>17</v>
      </c>
      <c r="P30" s="2">
        <v>18</v>
      </c>
      <c r="Q30" s="2">
        <v>19</v>
      </c>
      <c r="R30" s="2">
        <v>20</v>
      </c>
      <c r="S30" s="2">
        <v>21</v>
      </c>
      <c r="T30" s="2">
        <v>22</v>
      </c>
      <c r="U30" s="2">
        <v>23</v>
      </c>
      <c r="V30" s="2">
        <v>24</v>
      </c>
      <c r="W30" s="2">
        <v>25</v>
      </c>
      <c r="X30" s="2">
        <v>26</v>
      </c>
      <c r="Y30" s="2">
        <v>27</v>
      </c>
      <c r="Z30" s="2">
        <v>28</v>
      </c>
      <c r="AA30" s="2">
        <v>29</v>
      </c>
      <c r="AB30" s="2">
        <v>30</v>
      </c>
      <c r="AC30" s="2">
        <v>31</v>
      </c>
    </row>
    <row r="31" spans="1:29" x14ac:dyDescent="0.25">
      <c r="A31" s="9" t="s">
        <v>3</v>
      </c>
      <c r="B31" s="4" t="s">
        <v>26</v>
      </c>
      <c r="C31" s="2" t="s">
        <v>20</v>
      </c>
      <c r="E31" t="s">
        <v>21</v>
      </c>
      <c r="F31">
        <f>F32+F33</f>
        <v>367</v>
      </c>
      <c r="G31" s="2">
        <f>calcFirstRunOut(J35:AC35)</f>
        <v>202031</v>
      </c>
      <c r="H31" s="2" t="s">
        <v>15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4</v>
      </c>
      <c r="Q31" s="3">
        <v>85</v>
      </c>
      <c r="R31" s="3">
        <v>87</v>
      </c>
      <c r="S31" s="3">
        <v>68</v>
      </c>
      <c r="T31" s="3">
        <v>85</v>
      </c>
      <c r="U31" s="3">
        <v>69</v>
      </c>
      <c r="V31" s="3">
        <v>73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</row>
    <row r="32" spans="1:29" x14ac:dyDescent="0.25">
      <c r="A32" s="9"/>
      <c r="B32" s="5">
        <v>9831600980</v>
      </c>
      <c r="C32" s="2" t="s">
        <v>20</v>
      </c>
      <c r="E32" t="s">
        <v>22</v>
      </c>
      <c r="F32">
        <v>367</v>
      </c>
      <c r="G32" s="2"/>
      <c r="H32" s="2" t="s">
        <v>16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1632</v>
      </c>
      <c r="T32">
        <v>288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9"/>
      <c r="B33" t="s">
        <v>11</v>
      </c>
      <c r="C33" s="2" t="s">
        <v>20</v>
      </c>
      <c r="E33" t="s">
        <v>23</v>
      </c>
      <c r="F33">
        <v>0</v>
      </c>
      <c r="G33" s="2"/>
      <c r="H33" s="2" t="s">
        <v>17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 s="7">
        <v>0</v>
      </c>
      <c r="R33" s="7">
        <v>0</v>
      </c>
      <c r="S33" s="7">
        <v>1920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9"/>
      <c r="B34" s="6" t="s">
        <v>12</v>
      </c>
      <c r="C34" s="2" t="s">
        <v>20</v>
      </c>
      <c r="E34" t="s">
        <v>24</v>
      </c>
      <c r="F34">
        <v>-292</v>
      </c>
      <c r="G34" s="2"/>
      <c r="H34" s="2" t="s">
        <v>18</v>
      </c>
    </row>
    <row r="35" spans="1:29" x14ac:dyDescent="0.25">
      <c r="A35" s="9"/>
      <c r="B35" s="5" t="s">
        <v>27</v>
      </c>
      <c r="C35" s="2" t="s">
        <v>20</v>
      </c>
      <c r="E35" t="s">
        <v>25</v>
      </c>
      <c r="F35">
        <v>0</v>
      </c>
      <c r="G35" s="2"/>
      <c r="H35" s="2" t="s">
        <v>19</v>
      </c>
      <c r="J35" s="8">
        <f>F31+I32+I33-J31+J33+J34</f>
        <v>367</v>
      </c>
      <c r="K35" s="8">
        <f>J35-K31+K33+K34</f>
        <v>367</v>
      </c>
      <c r="L35" s="8">
        <f>K35-L31+L33+L34</f>
        <v>367</v>
      </c>
      <c r="M35" s="8">
        <f>L35-M31+M33+M34</f>
        <v>367</v>
      </c>
      <c r="N35" s="8">
        <f>M35-N31+N33+N34</f>
        <v>367</v>
      </c>
      <c r="O35" s="8">
        <f>N35-O31+O33+O34</f>
        <v>367</v>
      </c>
      <c r="P35" s="8">
        <f>O35-P31+P33+P34</f>
        <v>363</v>
      </c>
      <c r="Q35" s="8">
        <f>P35-Q31+Q33+Q34</f>
        <v>278</v>
      </c>
      <c r="R35" s="8">
        <f>Q35-R31+R33+R34</f>
        <v>191</v>
      </c>
      <c r="S35" s="8">
        <f>R35-S31+S33+S34</f>
        <v>2043</v>
      </c>
      <c r="T35" s="8">
        <f>S35-T31+T33+T34</f>
        <v>1958</v>
      </c>
      <c r="U35" s="8">
        <f>T35-U31+U33+U34</f>
        <v>1889</v>
      </c>
      <c r="V35" s="8">
        <f>U35-V31+V33+V34</f>
        <v>1816</v>
      </c>
      <c r="W35" s="8">
        <f>V35-W31+W33+W34</f>
        <v>1816</v>
      </c>
      <c r="X35" s="8">
        <f>W35-X31+X33+X34</f>
        <v>1816</v>
      </c>
      <c r="Y35" s="8">
        <f>X35-Y31+Y33+Y34</f>
        <v>1816</v>
      </c>
      <c r="Z35" s="8">
        <f>Y35-Z31+Z33+Z34</f>
        <v>1816</v>
      </c>
      <c r="AA35" s="8">
        <f>Z35-AA31+AA33+AA34</f>
        <v>1816</v>
      </c>
      <c r="AB35" s="8">
        <f>AA35-AB31+AB33+AB34</f>
        <v>1816</v>
      </c>
      <c r="AC35" s="8">
        <f>AB35-AC31+AC33+AC34</f>
        <v>1816</v>
      </c>
    </row>
  </sheetData>
  <mergeCells count="5">
    <mergeCell ref="A3:A7"/>
    <mergeCell ref="A10:A14"/>
    <mergeCell ref="A17:A21"/>
    <mergeCell ref="A24:A28"/>
    <mergeCell ref="A31:A35"/>
  </mergeCells>
  <pageMargins left="0.7" right="0.7" top="0.75" bottom="0.75" header="0.3" footer="0.3"/>
  <legacyDrawing r:id="rId1"/>
</worksheet>
</file>

<file path=customUI/_rels/customUI14.xml.rels><?xml version="1.0" encoding="UTF-8" standalone="yes"?>
<Relationships xmlns="http://schemas.openxmlformats.org/package/2006/relationships"><Relationship Id="infBTN" Type="http://schemas.openxmlformats.org/officeDocument/2006/relationships/image" Target="images/infBTN.png"/><Relationship Id="GTBN" Type="http://schemas.openxmlformats.org/officeDocument/2006/relationships/image" Target="images/GTBN.png"/><Relationship Id="BTN_inf" Type="http://schemas.openxmlformats.org/officeDocument/2006/relationships/image" Target="images/BTN_inf.png"/><Relationship Id="CorailJPG" Type="http://schemas.openxmlformats.org/officeDocument/2006/relationships/image" Target="images/CorailJPG.png"/></Relationships>
</file>

<file path=customUI/customUI14.xml><?xml version="1.0" encoding="utf-8"?>
<customUI xmlns="http://schemas.microsoft.com/office/2009/07/customui">
  <ribbon startFromScratch="false">
    <tabs>
      <tab id="COV1" label="COVERAGE">
        <group id="RUN" label="RUN Coverage">
          <button id="B1" label="RUN report" image="CorailJPG" size="large" onAction="RunMain"/>
        </group>
        <group id="Clear" label="Clear Group">
          <button id="BN" label="Delete Old Sheets" imageMso="DeletePagePreviousVersion" size="large" onAction="deleteOld"/>
          <button id="DS" label="Delete THIS Sheet" imageMso="CellsDelete" size="large" onAction="deleteThisSheet"/>
          <button id="BN2" label="Clear Input data" imageMso="BackgroundRemovalClose" size="large" onAction="clearList"/>
        </group>
        <group id="Inf" label="Information">
          <button id="IN1" label="Status Information" image="infBTN" size="large" onAction="statusSHow"/>
        </group>
        <group id="GO" label="Go To Input">
          <button id="GT1" label="Input List" image="GTBN" size="large" onAction="goToInp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Sheet1</vt:lpstr>
      <vt:lpstr>Sheet2</vt:lpstr>
    </vt:vector>
  </TitlesOfParts>
  <Company>GM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Forrest</dc:creator>
  <cp:lastModifiedBy>Mateusz Milewski</cp:lastModifiedBy>
  <dcterms:created xsi:type="dcterms:W3CDTF">2019-05-20T07:03:23Z</dcterms:created>
  <dcterms:modified xsi:type="dcterms:W3CDTF">2020-03-16T11:31:49Z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
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9eb39eaac5042a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ev\coverage\wcoc\"/>
    </mc:Choice>
  </mc:AlternateContent>
  <bookViews>
    <workbookView xWindow="0" yWindow="0" windowWidth="24000" windowHeight="9750" tabRatio="907" activeTab="1"/>
  </bookViews>
  <sheets>
    <sheet name="input" sheetId="1" r:id="rId1"/>
    <sheet name="Sheet1" sheetId="514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56" i="514" l="1"/>
  <c r="AB56" i="514"/>
  <c r="AA56" i="514"/>
  <c r="Z56" i="514"/>
  <c r="Y56" i="514"/>
  <c r="X56" i="514"/>
  <c r="W56" i="514"/>
  <c r="V56" i="514"/>
  <c r="U56" i="514"/>
  <c r="T56" i="514"/>
  <c r="S56" i="514"/>
  <c r="R56" i="514"/>
  <c r="Q56" i="514"/>
  <c r="P56" i="514"/>
  <c r="O56" i="514"/>
  <c r="N56" i="514"/>
  <c r="M56" i="514"/>
  <c r="L56" i="514"/>
  <c r="K56" i="514"/>
  <c r="J56" i="514"/>
  <c r="F52" i="514"/>
  <c r="AC49" i="514"/>
  <c r="AB49" i="514"/>
  <c r="AA49" i="514"/>
  <c r="Z49" i="514"/>
  <c r="Y49" i="514"/>
  <c r="X49" i="514"/>
  <c r="W49" i="514"/>
  <c r="V49" i="514"/>
  <c r="U49" i="514"/>
  <c r="T49" i="514"/>
  <c r="S49" i="514"/>
  <c r="R49" i="514"/>
  <c r="Q49" i="514"/>
  <c r="P49" i="514"/>
  <c r="O49" i="514"/>
  <c r="N49" i="514"/>
  <c r="M49" i="514"/>
  <c r="L49" i="514"/>
  <c r="K49" i="514"/>
  <c r="J49" i="514"/>
  <c r="F45" i="514"/>
  <c r="AC42" i="514"/>
  <c r="AB42" i="514"/>
  <c r="AA42" i="514"/>
  <c r="Z42" i="514"/>
  <c r="Y42" i="514"/>
  <c r="X42" i="514"/>
  <c r="W42" i="514"/>
  <c r="V42" i="514"/>
  <c r="U42" i="514"/>
  <c r="T42" i="514"/>
  <c r="S42" i="514"/>
  <c r="R42" i="514"/>
  <c r="Q42" i="514"/>
  <c r="P42" i="514"/>
  <c r="O42" i="514"/>
  <c r="N42" i="514"/>
  <c r="M42" i="514"/>
  <c r="L42" i="514"/>
  <c r="K42" i="514"/>
  <c r="J42" i="514"/>
  <c r="F38" i="514"/>
  <c r="AC35" i="514"/>
  <c r="AB35" i="514"/>
  <c r="AA35" i="514"/>
  <c r="Z35" i="514"/>
  <c r="Y35" i="514"/>
  <c r="X35" i="514"/>
  <c r="W35" i="514"/>
  <c r="V35" i="514"/>
  <c r="U35" i="514"/>
  <c r="T35" i="514"/>
  <c r="S35" i="514"/>
  <c r="R35" i="514"/>
  <c r="Q35" i="514"/>
  <c r="P35" i="514"/>
  <c r="O35" i="514"/>
  <c r="N35" i="514"/>
  <c r="M35" i="514"/>
  <c r="L35" i="514"/>
  <c r="K35" i="514"/>
  <c r="J35" i="514"/>
  <c r="F31" i="514"/>
  <c r="AC28" i="514"/>
  <c r="AB28" i="514"/>
  <c r="AA28" i="514"/>
  <c r="Z28" i="514"/>
  <c r="Y28" i="514"/>
  <c r="X28" i="514"/>
  <c r="W28" i="514"/>
  <c r="V28" i="514"/>
  <c r="U28" i="514"/>
  <c r="T28" i="514"/>
  <c r="S28" i="514"/>
  <c r="R28" i="514"/>
  <c r="Q28" i="514"/>
  <c r="P28" i="514"/>
  <c r="O28" i="514"/>
  <c r="N28" i="514"/>
  <c r="M28" i="514"/>
  <c r="L28" i="514"/>
  <c r="K28" i="514"/>
  <c r="J28" i="514"/>
  <c r="F24" i="514"/>
  <c r="AC21" i="514"/>
  <c r="AB21" i="514"/>
  <c r="AA21" i="514"/>
  <c r="Z21" i="514"/>
  <c r="Y21" i="514"/>
  <c r="X21" i="514"/>
  <c r="W21" i="514"/>
  <c r="V21" i="514"/>
  <c r="U21" i="514"/>
  <c r="T21" i="514"/>
  <c r="S21" i="514"/>
  <c r="R21" i="514"/>
  <c r="Q21" i="514"/>
  <c r="P21" i="514"/>
  <c r="O21" i="514"/>
  <c r="N21" i="514"/>
  <c r="M21" i="514"/>
  <c r="L21" i="514"/>
  <c r="K21" i="514"/>
  <c r="J21" i="514"/>
  <c r="F17" i="514"/>
  <c r="AC14" i="514"/>
  <c r="AB14" i="514"/>
  <c r="AA14" i="514"/>
  <c r="Z14" i="514"/>
  <c r="Y14" i="514"/>
  <c r="X14" i="514"/>
  <c r="W14" i="514"/>
  <c r="V14" i="514"/>
  <c r="U14" i="514"/>
  <c r="T14" i="514"/>
  <c r="S14" i="514"/>
  <c r="R14" i="514"/>
  <c r="Q14" i="514"/>
  <c r="P14" i="514"/>
  <c r="O14" i="514"/>
  <c r="N14" i="514"/>
  <c r="M14" i="514"/>
  <c r="L14" i="514"/>
  <c r="K14" i="514"/>
  <c r="J14" i="514"/>
  <c r="F10" i="514"/>
  <c r="AC7" i="514"/>
  <c r="AB7" i="514"/>
  <c r="AA7" i="514"/>
  <c r="Z7" i="514"/>
  <c r="Y7" i="514"/>
  <c r="X7" i="514"/>
  <c r="W7" i="514"/>
  <c r="V7" i="514"/>
  <c r="U7" i="514"/>
  <c r="T7" i="514"/>
  <c r="S7" i="514"/>
  <c r="R7" i="514"/>
  <c r="Q7" i="514"/>
  <c r="P7" i="514"/>
  <c r="O7" i="514"/>
  <c r="N7" i="514"/>
  <c r="M7" i="514"/>
  <c r="L7" i="514"/>
  <c r="K7" i="514"/>
  <c r="J7" i="514"/>
  <c r="F3" i="514"/>
  <c r="G52" i="514"/>
  <c r="G45" i="514"/>
  <c r="G38" i="514"/>
  <c r="G31" i="514"/>
  <c r="G24" i="514"/>
  <c r="G17" i="514"/>
  <c r="G10" i="514"/>
  <c r="G3" i="514"/>
</calcChain>
</file>

<file path=xl/comments1.xml><?xml version="1.0" encoding="utf-8"?>
<comments xmlns="http://schemas.openxmlformats.org/spreadsheetml/2006/main">
  <authors>
    <author>Mateusz Milewski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26.05.2020 EN 0
27.05.2020 EN 24
28.05.2020 EN 1
29.05.2020 EN 0
30.05.2020 EN 0
31.05.2020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01.06.2020 EN 0
02.06.2020 EN 0
03.06.2020 EN 4
04.06.2020 EN 4
05.06.2020 EN 5
06.06.2020 EN 0
07.06.2020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08.06.2020 EN 3
09.06.2020 EN 4
10.06.2020 EN 6
11.06.2020 EN 5
12.06.2020 EN 3
13.06.2020 EN 0
14.06.2020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15.06.2020 EN 1
16.06.2020 EN 3
17.06.2020 EN 6
18.06.2020 EN 5
19.06.2020 EN 5
20.06.2020 EN 0
21.06.2020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22.06.2020 EN 5
23.06.2020 EN 6
24.06.2020 EN 0
25.06.2020 EN 0
26.06.2020 EN 0
27.06.2020 EN 0
28.06.2020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29.06.2020 EN 0
30.06.2020 EN 0
01.07.2020 EN 0
02.07.2020 EN 4
03.07.2020 EN 3
04.07.2020 EN 0
05.07.2020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06.07.2020 EN 4
07.07.2020 EN 4
08.07.2020 EN 3
09.07.2020 EN 4
10.07.2020 EN 4
11.07.2020 EN 0
12.07.2020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13.07.2020 EN 3
14.07.2020 EN 4
15.07.2020 EN 6
16.07.2020 EN 5
17.07.2020 EN 5
18.07.2020 EN 0
19.07.2020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20.07.2020 EN 4
21.07.2020 EN 4
22.07.2020 EN 5
23.07.2020 EN 5
24.07.2020 EN 4
25.07.2020 EN 0
26.07.2020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27.07.2020 EN 0
28.07.2020 EN 0
29.07.2020 EN 0
30.07.2020 EN 0
31.07.2020 EN 0
01.08.2020 EN 0
02.08.2020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03.08.2020 EN 0
04.08.2020 EN 0
05.08.2020 EN 0
06.08.2020 EN 0
07.08.2020 EN 0
08.08.2020 EN 0
09.08.2020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10.08.2020 EN 0
11.08.2020 EN 0
12.08.2020 EN 0
13.08.2020 EN 0
14.08.2020 EN 0
15.08.2020 EN 0
16.08.2020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17.08.2020 EN 5
18.08.2020 EN 5
19.08.2020 EN 4
20.08.2020 EN 2
21.08.2020 EN 6
22.08.2020 EN 0
23.08.2020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24.08.2020 EN 6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26.05.2020 EN 0
27.05.2020 EN 10
28.05.2020 EN 0
29.05.2020 EN 0
30.05.2020 EN 0
31.05.2020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01.06.2020 EN 0
02.06.2020 EN 0
03.06.2020 EN 3
04.06.2020 EN 5
05.06.2020 EN 4
06.06.2020 EN 0
07.06.2020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08.06.2020 EN 4
09.06.2020 EN 4
10.06.2020 EN 6
11.06.2020 EN 5
12.06.2020 EN 2
13.06.2020 EN 0
14.06.2020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15.06.2020 EN 1
16.06.2020 EN 4
17.06.2020 EN 5
18.06.2020 EN 5
19.06.2020 EN 6
20.06.2020 EN 0
21.06.2020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22.06.2020 EN 5
23.06.2020 EN 6
24.06.2020 EN 0
25.06.2020 EN 0
26.06.2020 EN 0
27.06.2020 EN 0
28.06.2020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29.06.2020 EN 0
30.06.2020 EN 0
01.07.2020 EN 0
02.07.2020 EN 3
03.07.2020 EN 4
04.07.2020 EN 0
05.07.2020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06.07.2020 EN 4
07.07.2020 EN 3
08.07.2020 EN 4
09.07.2020 EN 3
10.07.2020 EN 4
11.07.2020 EN 0
12.07.2020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13.07.2020 EN 4
14.07.2020 EN 3
15.07.2020 EN 7
16.07.2020 EN 5
17.07.2020 EN 4
18.07.2020 EN 0
19.07.2020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20.07.2020 EN 4
21.07.2020 EN 5
22.07.2020 EN 5
23.07.2020 EN 5
24.07.2020 EN 4
25.07.2020 EN 0
26.07.2020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27.07.2020 EN 0
28.07.2020 EN 0
29.07.2020 EN 0
30.07.2020 EN 0
31.07.2020 EN 0
01.08.2020 EN 0
02.08.2020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03.08.2020 EN 0
04.08.2020 EN 0
05.08.2020 EN 0
06.08.2020 EN 0
07.08.2020 EN 0
08.08.2020 EN 0
09.08.2020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10.08.2020 EN 0
11.08.2020 EN 0
12.08.2020 EN 0
13.08.2020 EN 0
14.08.2020 EN 0
15.08.2020 EN 0
16.08.2020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17.08.2020 EN 5
18.08.2020 EN 5
19.08.2020 EN 3
20.08.2020 EN 3
21.08.2020 EN 5
22.08.2020 EN 0
23.08.2020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24.08.2020 EN 7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26.05.2020 EN 0
27.05.2020 EN 7
28.05.2020 EN 0
29.05.2020 EN 0
30.05.2020 EN 0
31.05.2020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01.06.2020 EN 0
02.06.2020 EN 0
03.06.2020 EN 3
04.06.2020 EN 5
05.06.2020 EN 4
06.06.2020 EN 0
07.06.2020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08.06.2020 EN 4
09.06.2020 EN 4
10.06.2020 EN 6
11.06.2020 EN 5
12.06.2020 EN 2
13.06.2020 EN 0
14.06.2020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15.06.2020 EN 1
16.06.2020 EN 4
17.06.2020 EN 5
18.06.2020 EN 6
19.06.2020 EN 5
20.06.2020 EN 0
21.06.2020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22.06.2020 EN 5
23.06.2020 EN 6
24.06.2020 EN 0
25.06.2020 EN 0
26.06.2020 EN 0
27.06.2020 EN 0
28.06.2020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29.06.2020 EN 0
30.06.2020 EN 0
01.07.2020 EN 0
02.07.2020 EN 3
03.07.2020 EN 4
04.07.2020 EN 0
05.07.2020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06.07.2020 EN 4
07.07.2020 EN 3
08.07.2020 EN 4
09.07.2020 EN 4
10.07.2020 EN 3
11.07.2020 EN 0
12.07.2020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13.07.2020 EN 4
14.07.2020 EN 4
15.07.2020 EN 6
16.07.2020 EN 5
17.07.2020 EN 4
18.07.2020 EN 0
19.07.2020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20.07.2020 EN 4
21.07.2020 EN 5
22.07.2020 EN 5
23.07.2020 EN 5
24.07.2020 EN 4
25.07.2020 EN 0
26.07.2020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27.07.2020 EN 0
28.07.2020 EN 0
29.07.2020 EN 0
30.07.2020 EN 0
31.07.2020 EN 0
01.08.2020 EN 0
02.08.2020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03.08.2020 EN 0
04.08.2020 EN 0
05.08.2020 EN 0
06.08.2020 EN 0
07.08.2020 EN 0
08.08.2020 EN 0
09.08.2020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10.08.2020 EN 0
11.08.2020 EN 0
12.08.2020 EN 0
13.08.2020 EN 0
14.08.2020 EN 0
15.08.2020 EN 0
16.08.2020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17.08.2020 EN 5
18.08.2020 EN 5
19.08.2020 EN 3
20.08.2020 EN 3
21.08.2020 EN 6
22.08.2020 EN 0
23.08.2020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24.08.2020 EN 6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26.05.2020 EN 0
27.05.2020 EN 1
28.05.2020 EN 0
29.05.2020 EN 0
30.05.2020 EN 0
31.05.2020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01.06.2020 EN 0
02.06.2020 EN 0
03.06.2020 EN 2
04.06.2020 EN 5
05.06.2020 EN 4
06.06.2020 EN 0
07.06.2020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08.06.2020 EN 4
09.06.2020 EN 4
10.06.2020 EN 3
11.06.2020 EN 0
12.06.2020 EN 1
13.06.2020 EN 0
14.06.2020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15.06.2020 EN 1
16.06.2020 EN 4
17.06.2020 EN 4
18.06.2020 EN 4
19.06.2020 EN 5
20.06.2020 EN 0
21.06.2020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22.06.2020 EN 4
23.06.2020 EN 2
24.06.2020 EN 0
25.06.2020 EN 0
26.06.2020 EN 0
27.06.2020 EN 0
28.06.2020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29.06.2020 EN 0
30.06.2020 EN 0
01.07.2020 EN 0
02.07.2020 EN 2
03.07.2020 EN 2
04.07.2020 EN 0
05.07.2020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06.07.2020 EN 1
07.07.2020 EN 2
08.07.2020 EN 2
09.07.2020 EN 2
10.07.2020 EN 2
11.07.2020 EN 0
12.07.2020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13.07.2020 EN 2
14.07.2020 EN 2
15.07.2020 EN 6
16.07.2020 EN 5
17.07.2020 EN 4
18.07.2020 EN 0
19.07.2020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20.07.2020 EN 4
21.07.2020 EN 5
22.07.2020 EN 4
23.07.2020 EN 2
24.07.2020 EN 3
25.07.2020 EN 0
26.07.2020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27.07.2020 EN 0
28.07.2020 EN 0
29.07.2020 EN 0
30.07.2020 EN 0
31.07.2020 EN 0
01.08.2020 EN 0
02.08.2020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03.08.2020 EN 0
04.08.2020 EN 0
05.08.2020 EN 0
06.08.2020 EN 0
07.08.2020 EN 0
08.08.2020 EN 0
09.08.2020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10.08.2020 EN 0
11.08.2020 EN 0
12.08.2020 EN 0
13.08.2020 EN 0
14.08.2020 EN 0
15.08.2020 EN 0
16.08.2020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17.08.2020 EN 5
18.08.2020 EN 5
19.08.2020 EN 3
20.08.2020 EN 3
21.08.2020 EN 6
22.08.2020 EN 0
23.08.2020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24.08.2020 EN 6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16  A00481 01 A00481 01 Order DT 24.04.2020 11:30:00 12.06.2020 11:00:00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16  A00481 01  A00481 01  Order DT  24.04.2020 11:30:00  12.06.2020 11:00:00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26.05.2020 EN 0
27.05.2020 EN 11
28.05.2020 EN 0
29.05.2020 EN 0
30.05.2020 EN 0
31.05.2020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01.06.2020 EN 0
02.06.2020 EN 0
03.06.2020 EN 3
04.06.2020 EN 5
05.06.2020 EN 4
06.06.2020 EN 0
07.06.2020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08.06.2020 EN 4
09.06.2020 EN 4
10.06.2020 EN 6
11.06.2020 EN 5
12.06.2020 EN 2
13.06.2020 EN 0
14.06.2020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15.06.2020 EN 1
16.06.2020 EN 4
17.06.2020 EN 5
18.06.2020 EN 5
19.06.2020 EN 6
20.06.2020 EN 0
21.06.2020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22.06.2020 EN 5
23.06.2020 EN 6
24.06.2020 EN 0
25.06.2020 EN 0
26.06.2020 EN 0
27.06.2020 EN 0
28.06.2020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29.06.2020 EN 0
30.06.2020 EN 0
01.07.2020 EN 0
02.07.2020 EN 3
03.07.2020 EN 4
04.07.2020 EN 0
05.07.2020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06.07.2020 EN 4
07.07.2020 EN 3
08.07.2020 EN 4
09.07.2020 EN 3
10.07.2020 EN 4
11.07.2020 EN 0
12.07.2020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13.07.2020 EN 4
14.07.2020 EN 3
15.07.2020 EN 7
16.07.2020 EN 5
17.07.2020 EN 4
18.07.2020 EN 0
19.07.2020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20.07.2020 EN 4
21.07.2020 EN 5
22.07.2020 EN 5
23.07.2020 EN 5
24.07.2020 EN 4
25.07.2020 EN 0
26.07.2020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27.07.2020 EN 0
28.07.2020 EN 0
29.07.2020 EN 0
30.07.2020 EN 0
31.07.2020 EN 0
01.08.2020 EN 0
02.08.2020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03.08.2020 EN 0
04.08.2020 EN 0
05.08.2020 EN 0
06.08.2020 EN 0
07.08.2020 EN 0
08.08.2020 EN 0
09.08.2020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10.08.2020 EN 0
11.08.2020 EN 0
12.08.2020 EN 0
13.08.2020 EN 0
14.08.2020 EN 0
15.08.2020 EN 0
16.08.2020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17.08.2020 EN 5
18.08.2020 EN 5
19.08.2020 EN 3
20.08.2020 EN 3
21.08.2020 EN 5
22.08.2020 EN 0
23.08.2020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24.08.2020 EN 7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26.05.2020 EN 0
27.05.2020 EN 13
28.05.2020 EN 0
29.05.2020 EN 0
30.05.2020 EN 0
31.05.2020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01.06.2020 EN 0
02.06.2020 EN 0
03.06.2020 EN 3
04.06.2020 EN 5
05.06.2020 EN 4
06.06.2020 EN 0
07.06.2020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08.06.2020 EN 4
09.06.2020 EN 3
10.06.2020 EN 6
11.06.2020 EN 6
12.06.2020 EN 2
13.06.2020 EN 0
14.06.2020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15.06.2020 EN 1
16.06.2020 EN 3
17.06.2020 EN 6
18.06.2020 EN 5
19.06.2020 EN 6
20.06.2020 EN 0
21.06.2020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22.06.2020 EN 4
23.06.2020 EN 6
24.06.2020 EN 0
25.06.2020 EN 0
26.06.2020 EN 0
27.06.2020 EN 0
28.06.2020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29.06.2020 EN 1
30.06.2020 EN 0
01.07.2020 EN 0
02.07.2020 EN 3
03.07.2020 EN 4
04.07.2020 EN 0
05.07.2020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06.07.2020 EN 3
07.07.2020 EN 4
08.07.2020 EN 4
09.07.2020 EN 3
10.07.2020 EN 4
11.07.2020 EN 0
12.07.2020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13.07.2020 EN 4
14.07.2020 EN 3
15.07.2020 EN 7
16.07.2020 EN 5
17.07.2020 EN 4
18.07.2020 EN 0
19.07.2020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20.07.2020 EN 4
21.07.2020 EN 5
22.07.2020 EN 5
23.07.2020 EN 5
24.07.2020 EN 4
25.07.2020 EN 0
26.07.2020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27.07.2020 EN 0
28.07.2020 EN 0
29.07.2020 EN 0
30.07.2020 EN 0
31.07.2020 EN 0
01.08.2020 EN 0
02.08.2020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03.08.2020 EN 0
04.08.2020 EN 0
05.08.2020 EN 0
06.08.2020 EN 0
07.08.2020 EN 0
08.08.2020 EN 0
09.08.2020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10.08.2020 EN 0
11.08.2020 EN 0
12.08.2020 EN 0
13.08.2020 EN 0
14.08.2020 EN 0
15.08.2020 EN 0
16.08.2020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17.08.2020 EN 5
18.08.2020 EN 5
19.08.2020 EN 3
20.08.2020 EN 3
21.08.2020 EN 5
22.08.2020 EN 0
23.08.2020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24.08.2020 EN 7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02.04.2020 20:35:00 26.05.2020 10:00:00
63  A008N4 01 A008N4 02 Order AT 02.04.2020 20:35:00 26.05.2020 10:00:00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02.04.2020 20:35:00  26.05.2020 10:00:00
63  A008N4 01  A008N4 02  Order AT  02.04.2020 20:35:00  26.05.2020 10:00:00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26.05.2020 EN 0
27.05.2020 EN 13
28.05.2020 EN 0
29.05.2020 EN 0
30.05.2020 EN 0
31.05.2020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01.06.2020 EN 0
02.06.2020 EN 0
03.06.2020 EN 3
04.06.2020 EN 5
05.06.2020 EN 4
06.06.2020 EN 0
07.06.2020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08.06.2020 EN 4
09.06.2020 EN 3
10.06.2020 EN 6
11.06.2020 EN 6
12.06.2020 EN 2
13.06.2020 EN 0
14.06.2020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15.06.2020 EN 1
16.06.2020 EN 3
17.06.2020 EN 6
18.06.2020 EN 5
19.06.2020 EN 6
20.06.2020 EN 0
21.06.2020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22.06.2020 EN 4
23.06.2020 EN 6
24.06.2020 EN 0
25.06.2020 EN 0
26.06.2020 EN 0
27.06.2020 EN 0
28.06.2020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29.06.2020 EN 1
30.06.2020 EN 0
01.07.2020 EN 0
02.07.2020 EN 3
03.07.2020 EN 4
04.07.2020 EN 0
05.07.2020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06.07.2020 EN 3
07.07.2020 EN 4
08.07.2020 EN 4
09.07.2020 EN 3
10.07.2020 EN 4
11.07.2020 EN 0
12.07.2020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13.07.2020 EN 4
14.07.2020 EN 3
15.07.2020 EN 7
16.07.2020 EN 5
17.07.2020 EN 4
18.07.2020 EN 0
19.07.2020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20.07.2020 EN 4
21.07.2020 EN 5
22.07.2020 EN 5
23.07.2020 EN 5
24.07.2020 EN 4
25.07.2020 EN 0
26.07.2020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27.07.2020 EN 0
28.07.2020 EN 0
29.07.2020 EN 0
30.07.2020 EN 0
31.07.2020 EN 0
01.08.2020 EN 0
02.08.2020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03.08.2020 EN 0
04.08.2020 EN 0
05.08.2020 EN 0
06.08.2020 EN 0
07.08.2020 EN 0
08.08.2020 EN 0
09.08.2020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10.08.2020 EN 0
11.08.2020 EN 0
12.08.2020 EN 0
13.08.2020 EN 0
14.08.2020 EN 0
15.08.2020 EN 0
16.08.2020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17.08.2020 EN 5
18.08.2020 EN 5
19.08.2020 EN 3
20.08.2020 EN 3
21.08.2020 EN 5
22.08.2020 EN 0
23.08.2020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24.08.2020 EN 7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02.04.2020 20:35:00 26.05.2020 10:00:00
63  A008N4 01 A008N4 02 Order AT 02.04.2020 20:35:00 26.05.2020 10:00:00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02.04.2020 20:35:00  26.05.2020 10:00:00
63  A008N4 01  A008N4 02  Order AT  02.04.2020 20:35:00  26.05.2020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22-06-2020 - 28-06-2020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29-06-2020 - 05-07-2020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06-07-2020 - 12-07-2020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13-07-2020 - 19-07-2020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20-07-2020 - 26-07-2020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27-07-2020 - 02-08-2020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03-08-2020 - 09-08-2020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10-08-2020 - 16-08-2020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17-08-2020 - 23-08-2020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24-08-2020 - 30-08-2020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31-08-2020 - 06-09-2020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07-09-2020 - 13-09-2020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14-09-2020 - 20-09-2020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21-09-2020 - 27-09-2020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28-09-2020 - 04-10-2020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05-10-2020 - 11-10-2020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26.05.2020 EN 0
27.05.2020 EN 8
28.05.2020 EN 0
29.05.2020 EN 0
30.05.2020 EN 0
31.05.2020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01.06.2020 EN 0
02.06.2020 EN 0
03.06.2020 EN 3
04.06.2020 EN 5
05.06.2020 EN 4
06.06.2020 EN 0
07.06.2020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08.06.2020 EN 4
09.06.2020 EN 4
10.06.2020 EN 6
11.06.2020 EN 5
12.06.2020 EN 2
13.06.2020 EN 0
14.06.2020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15.06.2020 EN 1
16.06.2020 EN 4
17.06.2020 EN 5
18.06.2020 EN 6
19.06.2020 EN 5
20.06.2020 EN 0
21.06.2020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22.06.2020 EN 5
23.06.2020 EN 6
24.06.2020 EN 0
25.06.2020 EN 0
26.06.2020 EN 0
27.06.2020 EN 0
28.06.2020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29.06.2020 EN 0
30.06.2020 EN 0
01.07.2020 EN 0
02.07.2020 EN 3
03.07.2020 EN 4
04.07.2020 EN 0
05.07.2020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06.07.2020 EN 4
07.07.2020 EN 3
08.07.2020 EN 4
09.07.2020 EN 4
10.07.2020 EN 3
11.07.2020 EN 0
12.07.2020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13.07.2020 EN 4
14.07.2020 EN 4
15.07.2020 EN 6
16.07.2020 EN 5
17.07.2020 EN 4
18.07.2020 EN 0
19.07.2020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20.07.2020 EN 4
21.07.2020 EN 5
22.07.2020 EN 5
23.07.2020 EN 5
24.07.2020 EN 4
25.07.2020 EN 0
26.07.2020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27.07.2020 EN 0
28.07.2020 EN 0
29.07.2020 EN 0
30.07.2020 EN 0
31.07.2020 EN 0
01.08.2020 EN 0
02.08.2020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03.08.2020 EN 0
04.08.2020 EN 0
05.08.2020 EN 0
06.08.2020 EN 0
07.08.2020 EN 0
08.08.2020 EN 0
09.08.2020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10.08.2020 EN 0
11.08.2020 EN 0
12.08.2020 EN 0
13.08.2020 EN 0
14.08.2020 EN 0
15.08.2020 EN 0
16.08.2020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17.08.2020 EN 5
18.08.2020 EN 5
19.08.2020 EN 3
20.08.2020 EN 3
21.08.2020 EN 6
22.08.2020 EN 0
23.08.2020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24.08.2020 EN 6
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A005G8 01 Order AT 20.03.2020 11:30:00 26.05.2020 11:00:00
80  A005G8 01 A005G8 01 Order AT 20.03.2020 11:30:00 26.05.2020 11:00:00
80  A005G8 01 A005G8 01 Order AT 20.03.2020 11:30:00 26.05.2020 11:00:00
80  A005G8 01 A005G8 01 Order AT 20.03.2020 11:30:00 26.05.2020 11:00:00
80  A005G8 01 A005G8 01 Order AT 20.03.2020 11:30:00 26.05.2020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5  A005G8 01 A005G8 01 Order EO 20.03.2020 11:30:00 29.05.2020 11:00:00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5  A005G8 01 A005G8 01 Order EO 27.03.2020 11:30:00 05.06.2020 11:00:00
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80  A005G8 01  A005G8 01  Order AT  20.03.2020 11:30:00  26.05.2020 11:00:00
80  A005G8 01  A005G8 01  Order AT  20.03.2020 11:30:00  26.05.2020 11:00:00
80  A005G8 01  A005G8 01  Order AT  20.03.2020 11:30:00  26.05.2020 11:00:00
80  A005G8 01  A005G8 01  Order AT  20.03.2020 11:30:00  26.05.2020 11:00:00
80  A005G8 01  A005G8 01  Order AT  20.03.2020 11:30:00  26.05.2020 11:00:00
</t>
        </r>
      </text>
    </comment>
  </commentList>
</comments>
</file>

<file path=xl/sharedStrings.xml><?xml version="1.0" encoding="utf-8"?>
<sst xmlns="http://schemas.openxmlformats.org/spreadsheetml/2006/main" count="205" uniqueCount="39">
  <si>
    <t>PLT</t>
  </si>
  <si>
    <t>PN</t>
  </si>
  <si>
    <t>Comment</t>
  </si>
  <si>
    <t>Past due</t>
  </si>
  <si>
    <t>First runout</t>
  </si>
  <si>
    <t>RQM</t>
  </si>
  <si>
    <t>Ordered</t>
  </si>
  <si>
    <t>Shipped</t>
  </si>
  <si>
    <t>Manual</t>
  </si>
  <si>
    <t>Coverage</t>
  </si>
  <si>
    <t>BAL</t>
  </si>
  <si>
    <t>STOCK</t>
  </si>
  <si>
    <t>RECV</t>
  </si>
  <si>
    <t xml:space="preserve">BIND: </t>
  </si>
  <si>
    <t>EI</t>
  </si>
  <si>
    <t>OSZHM3J</t>
  </si>
  <si>
    <t>BREWCZYK PAULINA</t>
  </si>
  <si>
    <t xml:space="preserve">  </t>
  </si>
  <si>
    <t>A008N4  02</t>
  </si>
  <si>
    <t>VENDOR / SELLER:     A008N4  01</t>
  </si>
  <si>
    <t xml:space="preserve">Shanghai GKN HUAYU Driveline System </t>
  </si>
  <si>
    <t xml:space="preserve">Xiangyang Millison Science &amp;amp; Techno </t>
  </si>
  <si>
    <t>VENDOR / SELLER:     A005G8  01</t>
  </si>
  <si>
    <t xml:space="preserve">VIBRACOUSTIC (WUXI) VIBRATION ISOLA </t>
  </si>
  <si>
    <t>25173L  01</t>
  </si>
  <si>
    <t>VENDOR / SELLER:     25173L  01</t>
  </si>
  <si>
    <t xml:space="preserve">HUTCHINSON INDUSTRIAL RUBBER PRODUC </t>
  </si>
  <si>
    <t>A0031D  01</t>
  </si>
  <si>
    <t>VENDOR / SELLER:     A0031D  01</t>
  </si>
  <si>
    <t xml:space="preserve">Xinxing Heavy Industries 3611 Mecha </t>
  </si>
  <si>
    <t>A00481  01</t>
  </si>
  <si>
    <t>VENDOR / SELLER:     A00481  01</t>
  </si>
  <si>
    <t>A005G8  01</t>
  </si>
  <si>
    <t xml:space="preserve">ContiTech Power Transmission (Ningh </t>
  </si>
  <si>
    <t>A005H8  01</t>
  </si>
  <si>
    <t>VENDOR / SELLER:     A005H8  01</t>
  </si>
  <si>
    <t>Weekly Coverage on Corail, new rep: 27.05.2020 07:30:53</t>
  </si>
  <si>
    <t>Hazards from FJU</t>
  </si>
  <si>
    <t>Blockages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</si>
</sst>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_ ;[Red]\-0\ "/>
  </numFmts>
  <fonts count="10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sz val="11"/>
      <color rgb="FF1F497D"/>
      <name val="Calibri"/>
      <family val="2"/>
      <scheme val="minor"/>
    </font>
    <font>
      <sz val="9"/>
      <color rgb="FF333333"/>
      <name val="Arial"/>
      <family val="2"/>
    </font>
    <font>
      <b/>
      <sz val="10.5"/>
      <color rgb="FF000000"/>
      <name val="Microsoft YaHei"/>
      <family val="2"/>
    </font>
  </fonts>
  <fills count="7">
    <fill>
      <patternFill patternType="none"/>
    </fill>
    <fill>
      <patternFill patternType="gray125"/>
    </fill>
    <fill>
      <patternFill patternType="solid">
        <fgColor rgb="FF8C8C8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4" fillId="0" borderId="0" xfId="0" applyFont="1"/>
    <xf numFmtId="164" fontId="1" fillId="3" borderId="0" xfId="0" applyNumberFormat="1" applyFont="1" applyFill="1"/>
    <xf numFmtId="0" fontId="5" fillId="4" borderId="0" xfId="0" applyFont="1" applyFill="1"/>
    <xf numFmtId="0" fontId="3" fillId="2" borderId="0" xfId="0" applyFont="1" applyFill="1"/>
    <xf numFmtId="0" fontId="4" fillId="5" borderId="0" xfId="0" applyFont="1" applyFill="1"/>
    <xf numFmtId="0" fontId="6" fillId="0" borderId="0" xfId="0" applyFont="1"/>
    <xf numFmtId="0" fontId="4" fillId="3" borderId="0" xfId="0" applyFont="1" applyFill="1"/>
    <xf numFmtId="0" fontId="0" fillId="6" borderId="0" xfId="0" applyFill="1"/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left" vertical="center"/>
    </xf>
    <xf numFmtId="0" fontId="9" fillId="0" borderId="0" xfId="0" applyFont="1"/>
    <xf numFmtId="0" fontId="3" fillId="2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D9F"/>
      <color rgb="FFFFFECE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300"/>
  </sheetPr>
  <dimension ref="A1:C36"/>
  <sheetViews>
    <sheetView workbookViewId="0">
      <selection activeCell="F10" sqref="F10"/>
    </sheetView>
  </sheetViews>
  <sheetFormatPr defaultRowHeight="15" x14ac:dyDescent="0.25"/>
  <cols>
    <col min="2" max="2" width="19.28515625" customWidth="1"/>
    <col min="3" max="3" width="9.7109375" bestFit="1" customWidth="1"/>
  </cols>
  <sheetData>
    <row r="1" spans="1:3" x14ac:dyDescent="0.25">
      <c r="A1" s="3" t="s">
        <v>0</v>
      </c>
      <c r="B1" s="3" t="s">
        <v>1</v>
      </c>
      <c r="C1" s="3" t="s">
        <v>2</v>
      </c>
    </row>
    <row r="2" spans="1:3" x14ac:dyDescent="0.25">
      <c r="A2" t="s">
        <v>14</v>
      </c>
      <c r="B2">
        <v>9820499380</v>
      </c>
    </row>
    <row r="3" spans="1:3" x14ac:dyDescent="0.25">
      <c r="A3" t="s">
        <v>14</v>
      </c>
      <c r="B3">
        <v>9820511880</v>
      </c>
    </row>
    <row r="4" spans="1:3" x14ac:dyDescent="0.25">
      <c r="A4" t="s">
        <v>14</v>
      </c>
      <c r="B4">
        <v>9820554780</v>
      </c>
    </row>
    <row r="5" spans="1:3" x14ac:dyDescent="0.25">
      <c r="A5" t="s">
        <v>14</v>
      </c>
      <c r="B5">
        <v>9822062780</v>
      </c>
    </row>
    <row r="6" spans="1:3" x14ac:dyDescent="0.25">
      <c r="A6" t="s">
        <v>14</v>
      </c>
      <c r="B6">
        <v>9831600980</v>
      </c>
    </row>
    <row r="7" spans="1:3" x14ac:dyDescent="0.25">
      <c r="A7" t="s">
        <v>14</v>
      </c>
      <c r="B7">
        <v>9831666480</v>
      </c>
    </row>
    <row r="8" spans="1:3" x14ac:dyDescent="0.25">
      <c r="A8" t="s">
        <v>14</v>
      </c>
      <c r="B8">
        <v>9831666780</v>
      </c>
    </row>
    <row r="9" spans="1:3" x14ac:dyDescent="0.25">
      <c r="A9" t="s">
        <v>14</v>
      </c>
      <c r="B9">
        <v>9833032280</v>
      </c>
    </row>
    <row r="21" spans="2:2" x14ac:dyDescent="0.25">
      <c r="B21" s="9"/>
    </row>
    <row r="22" spans="2:2" x14ac:dyDescent="0.25">
      <c r="B22" s="9"/>
    </row>
    <row r="31" spans="2:2" x14ac:dyDescent="0.25">
      <c r="B31" s="10"/>
    </row>
    <row r="32" spans="2:2" x14ac:dyDescent="0.25">
      <c r="B32" s="10"/>
    </row>
    <row r="33" spans="2:2" x14ac:dyDescent="0.25">
      <c r="B33" s="11"/>
    </row>
    <row r="34" spans="2:2" x14ac:dyDescent="0.25">
      <c r="B34" s="11"/>
    </row>
    <row r="35" spans="2:2" ht="15.75" x14ac:dyDescent="0.3">
      <c r="B35" s="12"/>
    </row>
    <row r="36" spans="2:2" ht="15.75" x14ac:dyDescent="0.3">
      <c r="B36" s="1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C56"/>
  <sheetViews>
    <sheetView showGridLines="0" tabSelected="1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36</v>
      </c>
      <c r="B1" t="s">
        <v>13</v>
      </c>
    </row>
    <row r="2" spans="1:29" x14ac:dyDescent="0.25">
      <c r="A2" s="4" t="s">
        <v>0</v>
      </c>
      <c r="B2" s="4" t="s">
        <v>25</v>
      </c>
      <c r="C2" s="4"/>
      <c r="D2" s="4"/>
      <c r="E2" s="4"/>
      <c r="F2" s="4"/>
      <c r="G2" s="4" t="s">
        <v>4</v>
      </c>
      <c r="H2" s="4"/>
      <c r="I2" s="4" t="s">
        <v>3</v>
      </c>
      <c r="J2" s="4">
        <v>22</v>
      </c>
      <c r="K2" s="4">
        <v>23</v>
      </c>
      <c r="L2" s="4">
        <v>24</v>
      </c>
      <c r="M2" s="4">
        <v>25</v>
      </c>
      <c r="N2" s="4">
        <v>26</v>
      </c>
      <c r="O2" s="4">
        <v>27</v>
      </c>
      <c r="P2" s="4">
        <v>28</v>
      </c>
      <c r="Q2" s="4">
        <v>29</v>
      </c>
      <c r="R2" s="4">
        <v>30</v>
      </c>
      <c r="S2" s="4">
        <v>31</v>
      </c>
      <c r="T2" s="4">
        <v>32</v>
      </c>
      <c r="U2" s="4">
        <v>33</v>
      </c>
      <c r="V2" s="4">
        <v>34</v>
      </c>
      <c r="W2" s="4">
        <v>35</v>
      </c>
      <c r="X2" s="4">
        <v>36</v>
      </c>
      <c r="Y2" s="4">
        <v>37</v>
      </c>
      <c r="Z2" s="4">
        <v>38</v>
      </c>
      <c r="AA2" s="4">
        <v>39</v>
      </c>
      <c r="AB2" s="4">
        <v>40</v>
      </c>
      <c r="AC2" s="4">
        <v>41</v>
      </c>
    </row>
    <row r="3" spans="1:29" x14ac:dyDescent="0.25">
      <c r="A3" s="13" t="s">
        <v>14</v>
      </c>
      <c r="B3" s="7" t="s">
        <v>23</v>
      </c>
      <c r="C3" s="4" t="s">
        <v>17</v>
      </c>
      <c r="E3" t="s">
        <v>10</v>
      </c>
      <c r="F3">
        <f>F4+F5</f>
        <v>244</v>
      </c>
      <c r="G3" s="4">
        <f>calcFirstRunOut(J7:AC7)</f>
        <v>202041</v>
      </c>
      <c r="H3" s="4" t="s">
        <v>5</v>
      </c>
      <c r="J3" s="5">
        <v>25</v>
      </c>
      <c r="K3" s="5">
        <v>13</v>
      </c>
      <c r="L3" s="5">
        <v>21</v>
      </c>
      <c r="M3" s="5">
        <v>20</v>
      </c>
      <c r="N3" s="5">
        <v>11</v>
      </c>
      <c r="O3" s="5">
        <v>7</v>
      </c>
      <c r="P3" s="5">
        <v>19</v>
      </c>
      <c r="Q3" s="5">
        <v>23</v>
      </c>
      <c r="R3" s="5">
        <v>22</v>
      </c>
      <c r="S3" s="5">
        <v>0</v>
      </c>
      <c r="T3" s="5">
        <v>0</v>
      </c>
      <c r="U3" s="5">
        <v>0</v>
      </c>
      <c r="V3" s="5">
        <v>20</v>
      </c>
      <c r="W3" s="5">
        <v>6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</row>
    <row r="4" spans="1:29" x14ac:dyDescent="0.25">
      <c r="A4" s="13"/>
      <c r="B4" s="1">
        <v>9820499380</v>
      </c>
      <c r="C4" s="4" t="s">
        <v>17</v>
      </c>
      <c r="E4" t="s">
        <v>11</v>
      </c>
      <c r="F4">
        <v>244</v>
      </c>
      <c r="G4" s="4"/>
      <c r="H4" s="4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3"/>
      <c r="B5" t="s">
        <v>15</v>
      </c>
      <c r="C5" s="4" t="s">
        <v>17</v>
      </c>
      <c r="E5" t="s">
        <v>12</v>
      </c>
      <c r="F5">
        <v>0</v>
      </c>
      <c r="G5" s="4"/>
      <c r="H5" s="4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3"/>
      <c r="B6" s="6" t="s">
        <v>16</v>
      </c>
      <c r="C6" s="4" t="s">
        <v>17</v>
      </c>
      <c r="E6" t="s">
        <v>37</v>
      </c>
      <c r="F6">
        <v>0</v>
      </c>
      <c r="G6" s="4"/>
      <c r="H6" s="4" t="s">
        <v>8</v>
      </c>
    </row>
    <row r="7" spans="1:29" x14ac:dyDescent="0.25">
      <c r="A7" s="13"/>
      <c r="B7" s="1" t="s">
        <v>24</v>
      </c>
      <c r="C7" s="4" t="s">
        <v>17</v>
      </c>
      <c r="E7" t="s">
        <v>38</v>
      </c>
      <c r="F7">
        <v>0</v>
      </c>
      <c r="G7" s="4"/>
      <c r="H7" s="4" t="s">
        <v>9</v>
      </c>
      <c r="J7" s="2">
        <f>F3+I4+I5-J3+J5+J6</f>
        <v>219</v>
      </c>
      <c r="K7" s="2">
        <f>J7-K3+K5+K6</f>
        <v>206</v>
      </c>
      <c r="L7" s="2">
        <f>K7-L3+L5+L6</f>
        <v>185</v>
      </c>
      <c r="M7" s="2">
        <f>L7-M3+M5+M6</f>
        <v>165</v>
      </c>
      <c r="N7" s="2">
        <f>M7-N3+N5+N6</f>
        <v>154</v>
      </c>
      <c r="O7" s="2">
        <f>N7-O3+O5+O6</f>
        <v>147</v>
      </c>
      <c r="P7" s="2">
        <f>O7-P3+P5+P6</f>
        <v>128</v>
      </c>
      <c r="Q7" s="2">
        <f>P7-Q3+Q5+Q6</f>
        <v>105</v>
      </c>
      <c r="R7" s="2">
        <f>Q7-R3+R5+R6</f>
        <v>83</v>
      </c>
      <c r="S7" s="2">
        <f>R7-S3+S5+S6</f>
        <v>83</v>
      </c>
      <c r="T7" s="2">
        <f>S7-T3+T5+T6</f>
        <v>83</v>
      </c>
      <c r="U7" s="2">
        <f>T7-U3+U5+U6</f>
        <v>83</v>
      </c>
      <c r="V7" s="2">
        <f>U7-V3+V5+V6</f>
        <v>63</v>
      </c>
      <c r="W7" s="2">
        <f>V7-W3+W5+W6</f>
        <v>57</v>
      </c>
      <c r="X7" s="2">
        <f>W7-X3+X5+X6</f>
        <v>57</v>
      </c>
      <c r="Y7" s="2">
        <f>X7-Y3+Y5+Y6</f>
        <v>57</v>
      </c>
      <c r="Z7" s="2">
        <f>Y7-Z3+Z5+Z6</f>
        <v>57</v>
      </c>
      <c r="AA7" s="2">
        <f>Z7-AA3+AA5+AA6</f>
        <v>57</v>
      </c>
      <c r="AB7" s="2">
        <f>AA7-AB3+AB5+AB6</f>
        <v>57</v>
      </c>
      <c r="AC7" s="2">
        <f>AB7-AC3+AC5+AC6</f>
        <v>57</v>
      </c>
    </row>
    <row r="9" spans="1:29" x14ac:dyDescent="0.25">
      <c r="A9" s="4" t="s">
        <v>0</v>
      </c>
      <c r="B9" s="4" t="s">
        <v>28</v>
      </c>
      <c r="C9" s="4"/>
      <c r="D9" s="4"/>
      <c r="E9" s="4"/>
      <c r="F9" s="4"/>
      <c r="G9" s="4" t="s">
        <v>4</v>
      </c>
      <c r="H9" s="4"/>
      <c r="I9" s="4" t="s">
        <v>3</v>
      </c>
      <c r="J9" s="4">
        <v>22</v>
      </c>
      <c r="K9" s="4">
        <v>23</v>
      </c>
      <c r="L9" s="4">
        <v>24</v>
      </c>
      <c r="M9" s="4">
        <v>25</v>
      </c>
      <c r="N9" s="4">
        <v>26</v>
      </c>
      <c r="O9" s="4">
        <v>27</v>
      </c>
      <c r="P9" s="4">
        <v>28</v>
      </c>
      <c r="Q9" s="4">
        <v>29</v>
      </c>
      <c r="R9" s="4">
        <v>30</v>
      </c>
      <c r="S9" s="4">
        <v>31</v>
      </c>
      <c r="T9" s="4">
        <v>32</v>
      </c>
      <c r="U9" s="4">
        <v>33</v>
      </c>
      <c r="V9" s="4">
        <v>34</v>
      </c>
      <c r="W9" s="4">
        <v>35</v>
      </c>
      <c r="X9" s="4">
        <v>36</v>
      </c>
      <c r="Y9" s="4">
        <v>37</v>
      </c>
      <c r="Z9" s="4">
        <v>38</v>
      </c>
      <c r="AA9" s="4">
        <v>39</v>
      </c>
      <c r="AB9" s="4">
        <v>40</v>
      </c>
      <c r="AC9" s="4">
        <v>41</v>
      </c>
    </row>
    <row r="10" spans="1:29" x14ac:dyDescent="0.25">
      <c r="A10" s="13" t="s">
        <v>14</v>
      </c>
      <c r="B10" s="7" t="s">
        <v>26</v>
      </c>
      <c r="C10" s="4" t="s">
        <v>17</v>
      </c>
      <c r="E10" t="s">
        <v>10</v>
      </c>
      <c r="F10">
        <f>F11+F12</f>
        <v>959</v>
      </c>
      <c r="G10" s="4">
        <f>calcFirstRunOut(J14:AC14)</f>
        <v>202041</v>
      </c>
      <c r="H10" s="4" t="s">
        <v>5</v>
      </c>
      <c r="J10" s="5">
        <v>10</v>
      </c>
      <c r="K10" s="5">
        <v>12</v>
      </c>
      <c r="L10" s="5">
        <v>21</v>
      </c>
      <c r="M10" s="5">
        <v>21</v>
      </c>
      <c r="N10" s="5">
        <v>11</v>
      </c>
      <c r="O10" s="5">
        <v>7</v>
      </c>
      <c r="P10" s="5">
        <v>18</v>
      </c>
      <c r="Q10" s="5">
        <v>23</v>
      </c>
      <c r="R10" s="5">
        <v>23</v>
      </c>
      <c r="S10" s="5">
        <v>0</v>
      </c>
      <c r="T10" s="5">
        <v>0</v>
      </c>
      <c r="U10" s="5">
        <v>0</v>
      </c>
      <c r="V10" s="5">
        <v>21</v>
      </c>
      <c r="W10" s="5">
        <v>28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</row>
    <row r="11" spans="1:29" x14ac:dyDescent="0.25">
      <c r="A11" s="13"/>
      <c r="B11" s="1">
        <v>9820511880</v>
      </c>
      <c r="C11" s="4" t="s">
        <v>17</v>
      </c>
      <c r="E11" t="s">
        <v>11</v>
      </c>
      <c r="F11">
        <v>959</v>
      </c>
      <c r="G11" s="4"/>
      <c r="H11" s="4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3"/>
      <c r="B12" t="s">
        <v>15</v>
      </c>
      <c r="C12" s="4" t="s">
        <v>17</v>
      </c>
      <c r="E12" t="s">
        <v>12</v>
      </c>
      <c r="F12">
        <v>0</v>
      </c>
      <c r="G12" s="4"/>
      <c r="H12" s="4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3"/>
      <c r="B13" s="6" t="s">
        <v>16</v>
      </c>
      <c r="C13" s="4" t="s">
        <v>17</v>
      </c>
      <c r="E13" t="s">
        <v>37</v>
      </c>
      <c r="F13">
        <v>0</v>
      </c>
      <c r="G13" s="4"/>
      <c r="H13" s="4" t="s">
        <v>8</v>
      </c>
    </row>
    <row r="14" spans="1:29" x14ac:dyDescent="0.25">
      <c r="A14" s="13"/>
      <c r="B14" s="1" t="s">
        <v>27</v>
      </c>
      <c r="C14" s="4" t="s">
        <v>17</v>
      </c>
      <c r="E14" t="s">
        <v>38</v>
      </c>
      <c r="F14">
        <v>0</v>
      </c>
      <c r="G14" s="4"/>
      <c r="H14" s="4" t="s">
        <v>9</v>
      </c>
      <c r="J14" s="2">
        <f>F10+I11+I12-J10+J12+J13</f>
        <v>949</v>
      </c>
      <c r="K14" s="2">
        <f>J14-K10+K12+K13</f>
        <v>937</v>
      </c>
      <c r="L14" s="2">
        <f>K14-L10+L12+L13</f>
        <v>916</v>
      </c>
      <c r="M14" s="2">
        <f>L14-M10+M12+M13</f>
        <v>895</v>
      </c>
      <c r="N14" s="2">
        <f>M14-N10+N12+N13</f>
        <v>884</v>
      </c>
      <c r="O14" s="2">
        <f>N14-O10+O12+O13</f>
        <v>877</v>
      </c>
      <c r="P14" s="2">
        <f>O14-P10+P12+P13</f>
        <v>859</v>
      </c>
      <c r="Q14" s="2">
        <f>P14-Q10+Q12+Q13</f>
        <v>836</v>
      </c>
      <c r="R14" s="2">
        <f>Q14-R10+R12+R13</f>
        <v>813</v>
      </c>
      <c r="S14" s="2">
        <f>R14-S10+S12+S13</f>
        <v>813</v>
      </c>
      <c r="T14" s="2">
        <f>S14-T10+T12+T13</f>
        <v>813</v>
      </c>
      <c r="U14" s="2">
        <f>T14-U10+U12+U13</f>
        <v>813</v>
      </c>
      <c r="V14" s="2">
        <f>U14-V10+V12+V13</f>
        <v>792</v>
      </c>
      <c r="W14" s="2">
        <f>V14-W10+W12+W13</f>
        <v>764</v>
      </c>
      <c r="X14" s="2">
        <f>W14-X10+X12+X13</f>
        <v>764</v>
      </c>
      <c r="Y14" s="2">
        <f>X14-Y10+Y12+Y13</f>
        <v>764</v>
      </c>
      <c r="Z14" s="2">
        <f>Y14-Z10+Z12+Z13</f>
        <v>764</v>
      </c>
      <c r="AA14" s="2">
        <f>Z14-AA10+AA12+AA13</f>
        <v>764</v>
      </c>
      <c r="AB14" s="2">
        <f>AA14-AB10+AB12+AB13</f>
        <v>764</v>
      </c>
      <c r="AC14" s="2">
        <f>AB14-AC10+AC12+AC13</f>
        <v>764</v>
      </c>
    </row>
    <row r="16" spans="1:29" x14ac:dyDescent="0.25">
      <c r="A16" s="4" t="s">
        <v>0</v>
      </c>
      <c r="B16" s="4" t="s">
        <v>28</v>
      </c>
      <c r="C16" s="4"/>
      <c r="D16" s="4"/>
      <c r="E16" s="4"/>
      <c r="F16" s="4"/>
      <c r="G16" s="4" t="s">
        <v>4</v>
      </c>
      <c r="H16" s="4"/>
      <c r="I16" s="4" t="s">
        <v>3</v>
      </c>
      <c r="J16" s="4">
        <v>22</v>
      </c>
      <c r="K16" s="4">
        <v>23</v>
      </c>
      <c r="L16" s="4">
        <v>24</v>
      </c>
      <c r="M16" s="4">
        <v>25</v>
      </c>
      <c r="N16" s="4">
        <v>26</v>
      </c>
      <c r="O16" s="4">
        <v>27</v>
      </c>
      <c r="P16" s="4">
        <v>28</v>
      </c>
      <c r="Q16" s="4">
        <v>29</v>
      </c>
      <c r="R16" s="4">
        <v>30</v>
      </c>
      <c r="S16" s="4">
        <v>31</v>
      </c>
      <c r="T16" s="4">
        <v>32</v>
      </c>
      <c r="U16" s="4">
        <v>33</v>
      </c>
      <c r="V16" s="4">
        <v>34</v>
      </c>
      <c r="W16" s="4">
        <v>35</v>
      </c>
      <c r="X16" s="4">
        <v>36</v>
      </c>
      <c r="Y16" s="4">
        <v>37</v>
      </c>
      <c r="Z16" s="4">
        <v>38</v>
      </c>
      <c r="AA16" s="4">
        <v>39</v>
      </c>
      <c r="AB16" s="4">
        <v>40</v>
      </c>
      <c r="AC16" s="4">
        <v>41</v>
      </c>
    </row>
    <row r="17" spans="1:29" x14ac:dyDescent="0.25">
      <c r="A17" s="13" t="s">
        <v>14</v>
      </c>
      <c r="B17" s="7" t="s">
        <v>26</v>
      </c>
      <c r="C17" s="4" t="s">
        <v>17</v>
      </c>
      <c r="E17" t="s">
        <v>10</v>
      </c>
      <c r="F17">
        <f>F18+F19</f>
        <v>791</v>
      </c>
      <c r="G17" s="4">
        <f>calcFirstRunOut(J21:AC21)</f>
        <v>202041</v>
      </c>
      <c r="H17" s="4" t="s">
        <v>5</v>
      </c>
      <c r="J17" s="5">
        <v>7</v>
      </c>
      <c r="K17" s="5">
        <v>12</v>
      </c>
      <c r="L17" s="5">
        <v>21</v>
      </c>
      <c r="M17" s="5">
        <v>21</v>
      </c>
      <c r="N17" s="5">
        <v>11</v>
      </c>
      <c r="O17" s="5">
        <v>7</v>
      </c>
      <c r="P17" s="5">
        <v>18</v>
      </c>
      <c r="Q17" s="5">
        <v>23</v>
      </c>
      <c r="R17" s="5">
        <v>23</v>
      </c>
      <c r="S17" s="5">
        <v>0</v>
      </c>
      <c r="T17" s="5">
        <v>0</v>
      </c>
      <c r="U17" s="5">
        <v>0</v>
      </c>
      <c r="V17" s="5">
        <v>22</v>
      </c>
      <c r="W17" s="5">
        <v>28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</row>
    <row r="18" spans="1:29" x14ac:dyDescent="0.25">
      <c r="A18" s="13"/>
      <c r="B18" s="1">
        <v>9820554780</v>
      </c>
      <c r="C18" s="4" t="s">
        <v>17</v>
      </c>
      <c r="E18" t="s">
        <v>11</v>
      </c>
      <c r="F18">
        <v>791</v>
      </c>
      <c r="G18" s="4"/>
      <c r="H18" s="4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3"/>
      <c r="B19" t="s">
        <v>15</v>
      </c>
      <c r="C19" s="4" t="s">
        <v>17</v>
      </c>
      <c r="E19" t="s">
        <v>12</v>
      </c>
      <c r="F19">
        <v>0</v>
      </c>
      <c r="G19" s="4"/>
      <c r="H19" s="4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3"/>
      <c r="B20" s="6" t="s">
        <v>16</v>
      </c>
      <c r="C20" s="4" t="s">
        <v>17</v>
      </c>
      <c r="E20" t="s">
        <v>37</v>
      </c>
      <c r="F20">
        <v>0</v>
      </c>
      <c r="G20" s="4"/>
      <c r="H20" s="4" t="s">
        <v>8</v>
      </c>
    </row>
    <row r="21" spans="1:29" x14ac:dyDescent="0.25">
      <c r="A21" s="13"/>
      <c r="B21" s="1" t="s">
        <v>27</v>
      </c>
      <c r="C21" s="4" t="s">
        <v>17</v>
      </c>
      <c r="E21" t="s">
        <v>38</v>
      </c>
      <c r="F21">
        <v>0</v>
      </c>
      <c r="G21" s="4"/>
      <c r="H21" s="4" t="s">
        <v>9</v>
      </c>
      <c r="J21" s="2">
        <f>F17+I18+I19-J17+J19+J20</f>
        <v>784</v>
      </c>
      <c r="K21" s="2">
        <f>J21-K17+K19+K20</f>
        <v>772</v>
      </c>
      <c r="L21" s="2">
        <f>K21-L17+L19+L20</f>
        <v>751</v>
      </c>
      <c r="M21" s="2">
        <f>L21-M17+M19+M20</f>
        <v>730</v>
      </c>
      <c r="N21" s="2">
        <f>M21-N17+N19+N20</f>
        <v>719</v>
      </c>
      <c r="O21" s="2">
        <f>N21-O17+O19+O20</f>
        <v>712</v>
      </c>
      <c r="P21" s="2">
        <f>O21-P17+P19+P20</f>
        <v>694</v>
      </c>
      <c r="Q21" s="2">
        <f>P21-Q17+Q19+Q20</f>
        <v>671</v>
      </c>
      <c r="R21" s="2">
        <f>Q21-R17+R19+R20</f>
        <v>648</v>
      </c>
      <c r="S21" s="2">
        <f>R21-S17+S19+S20</f>
        <v>648</v>
      </c>
      <c r="T21" s="2">
        <f>S21-T17+T19+T20</f>
        <v>648</v>
      </c>
      <c r="U21" s="2">
        <f>T21-U17+U19+U20</f>
        <v>648</v>
      </c>
      <c r="V21" s="2">
        <f>U21-V17+V19+V20</f>
        <v>626</v>
      </c>
      <c r="W21" s="2">
        <f>V21-W17+W19+W20</f>
        <v>598</v>
      </c>
      <c r="X21" s="2">
        <f>W21-X17+X19+X20</f>
        <v>598</v>
      </c>
      <c r="Y21" s="2">
        <f>X21-Y17+Y19+Y20</f>
        <v>598</v>
      </c>
      <c r="Z21" s="2">
        <f>Y21-Z17+Z19+Z20</f>
        <v>598</v>
      </c>
      <c r="AA21" s="2">
        <f>Z21-AA17+AA19+AA20</f>
        <v>598</v>
      </c>
      <c r="AB21" s="2">
        <f>AA21-AB17+AB19+AB20</f>
        <v>598</v>
      </c>
      <c r="AC21" s="2">
        <f>AB21-AC17+AC19+AC20</f>
        <v>598</v>
      </c>
    </row>
    <row r="23" spans="1:29" x14ac:dyDescent="0.25">
      <c r="A23" s="4" t="s">
        <v>0</v>
      </c>
      <c r="B23" s="4" t="s">
        <v>31</v>
      </c>
      <c r="C23" s="4"/>
      <c r="D23" s="4"/>
      <c r="E23" s="4"/>
      <c r="F23" s="4"/>
      <c r="G23" s="4" t="s">
        <v>4</v>
      </c>
      <c r="H23" s="4"/>
      <c r="I23" s="4" t="s">
        <v>3</v>
      </c>
      <c r="J23" s="4">
        <v>22</v>
      </c>
      <c r="K23" s="4">
        <v>23</v>
      </c>
      <c r="L23" s="4">
        <v>24</v>
      </c>
      <c r="M23" s="4">
        <v>25</v>
      </c>
      <c r="N23" s="4">
        <v>26</v>
      </c>
      <c r="O23" s="4">
        <v>27</v>
      </c>
      <c r="P23" s="4">
        <v>28</v>
      </c>
      <c r="Q23" s="4">
        <v>29</v>
      </c>
      <c r="R23" s="4">
        <v>30</v>
      </c>
      <c r="S23" s="4">
        <v>31</v>
      </c>
      <c r="T23" s="4">
        <v>32</v>
      </c>
      <c r="U23" s="4">
        <v>33</v>
      </c>
      <c r="V23" s="4">
        <v>34</v>
      </c>
      <c r="W23" s="4">
        <v>35</v>
      </c>
      <c r="X23" s="4">
        <v>36</v>
      </c>
      <c r="Y23" s="4">
        <v>37</v>
      </c>
      <c r="Z23" s="4">
        <v>38</v>
      </c>
      <c r="AA23" s="4">
        <v>39</v>
      </c>
      <c r="AB23" s="4">
        <v>40</v>
      </c>
      <c r="AC23" s="4">
        <v>41</v>
      </c>
    </row>
    <row r="24" spans="1:29" x14ac:dyDescent="0.25">
      <c r="A24" s="13" t="s">
        <v>14</v>
      </c>
      <c r="B24" s="7" t="s">
        <v>29</v>
      </c>
      <c r="C24" s="4" t="s">
        <v>17</v>
      </c>
      <c r="E24" t="s">
        <v>10</v>
      </c>
      <c r="F24">
        <f>F25+F26</f>
        <v>724</v>
      </c>
      <c r="G24" s="4">
        <f>calcFirstRunOut(J28:AC28)</f>
        <v>202041</v>
      </c>
      <c r="H24" s="4" t="s">
        <v>5</v>
      </c>
      <c r="J24" s="5">
        <v>1</v>
      </c>
      <c r="K24" s="5">
        <v>11</v>
      </c>
      <c r="L24" s="5">
        <v>12</v>
      </c>
      <c r="M24" s="5">
        <v>18</v>
      </c>
      <c r="N24" s="5">
        <v>6</v>
      </c>
      <c r="O24" s="5">
        <v>4</v>
      </c>
      <c r="P24" s="5">
        <v>9</v>
      </c>
      <c r="Q24" s="5">
        <v>19</v>
      </c>
      <c r="R24" s="5">
        <v>18</v>
      </c>
      <c r="S24" s="5">
        <v>0</v>
      </c>
      <c r="T24" s="5">
        <v>0</v>
      </c>
      <c r="U24" s="5">
        <v>0</v>
      </c>
      <c r="V24" s="5">
        <v>20</v>
      </c>
      <c r="W24" s="5">
        <v>6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</row>
    <row r="25" spans="1:29" x14ac:dyDescent="0.25">
      <c r="A25" s="13"/>
      <c r="B25" s="1">
        <v>9822062780</v>
      </c>
      <c r="C25" s="4" t="s">
        <v>17</v>
      </c>
      <c r="E25" t="s">
        <v>11</v>
      </c>
      <c r="F25">
        <v>724</v>
      </c>
      <c r="G25" s="4"/>
      <c r="H25" s="4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3"/>
      <c r="B26" t="s">
        <v>15</v>
      </c>
      <c r="C26" s="4" t="s">
        <v>17</v>
      </c>
      <c r="E26" t="s">
        <v>12</v>
      </c>
      <c r="F26">
        <v>0</v>
      </c>
      <c r="G26" s="4"/>
      <c r="H26" s="4" t="s">
        <v>7</v>
      </c>
      <c r="J26">
        <v>0</v>
      </c>
      <c r="K26">
        <v>0</v>
      </c>
      <c r="L26" s="8">
        <v>384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3"/>
      <c r="B27" s="6" t="s">
        <v>16</v>
      </c>
      <c r="C27" s="4" t="s">
        <v>17</v>
      </c>
      <c r="E27" t="s">
        <v>37</v>
      </c>
      <c r="F27">
        <v>0</v>
      </c>
      <c r="G27" s="4"/>
      <c r="H27" s="4" t="s">
        <v>8</v>
      </c>
    </row>
    <row r="28" spans="1:29" x14ac:dyDescent="0.25">
      <c r="A28" s="13"/>
      <c r="B28" s="1" t="s">
        <v>30</v>
      </c>
      <c r="C28" s="4" t="s">
        <v>17</v>
      </c>
      <c r="E28" t="s">
        <v>38</v>
      </c>
      <c r="F28">
        <v>0</v>
      </c>
      <c r="G28" s="4"/>
      <c r="H28" s="4" t="s">
        <v>9</v>
      </c>
      <c r="J28" s="2">
        <f>F24+I25+I26-J24+J26+J27</f>
        <v>723</v>
      </c>
      <c r="K28" s="2">
        <f>J28-K24+K26+K27</f>
        <v>712</v>
      </c>
      <c r="L28" s="2">
        <f>K28-L24+L26+L27</f>
        <v>1084</v>
      </c>
      <c r="M28" s="2">
        <f>L28-M24+M26+M27</f>
        <v>1066</v>
      </c>
      <c r="N28" s="2">
        <f>M28-N24+N26+N27</f>
        <v>1060</v>
      </c>
      <c r="O28" s="2">
        <f>N28-O24+O26+O27</f>
        <v>1056</v>
      </c>
      <c r="P28" s="2">
        <f>O28-P24+P26+P27</f>
        <v>1047</v>
      </c>
      <c r="Q28" s="2">
        <f>P28-Q24+Q26+Q27</f>
        <v>1028</v>
      </c>
      <c r="R28" s="2">
        <f>Q28-R24+R26+R27</f>
        <v>1010</v>
      </c>
      <c r="S28" s="2">
        <f>R28-S24+S26+S27</f>
        <v>1010</v>
      </c>
      <c r="T28" s="2">
        <f>S28-T24+T26+T27</f>
        <v>1010</v>
      </c>
      <c r="U28" s="2">
        <f>T28-U24+U26+U27</f>
        <v>1010</v>
      </c>
      <c r="V28" s="2">
        <f>U28-V24+V26+V27</f>
        <v>990</v>
      </c>
      <c r="W28" s="2">
        <f>V28-W24+W26+W27</f>
        <v>984</v>
      </c>
      <c r="X28" s="2">
        <f>W28-X24+X26+X27</f>
        <v>984</v>
      </c>
      <c r="Y28" s="2">
        <f>X28-Y24+Y26+Y27</f>
        <v>984</v>
      </c>
      <c r="Z28" s="2">
        <f>Y28-Z24+Z26+Z27</f>
        <v>984</v>
      </c>
      <c r="AA28" s="2">
        <f>Z28-AA24+AA26+AA27</f>
        <v>984</v>
      </c>
      <c r="AB28" s="2">
        <f>AA28-AB24+AB26+AB27</f>
        <v>984</v>
      </c>
      <c r="AC28" s="2">
        <f>AB28-AC24+AC26+AC27</f>
        <v>984</v>
      </c>
    </row>
    <row r="30" spans="1:29" x14ac:dyDescent="0.25">
      <c r="A30" s="4" t="s">
        <v>0</v>
      </c>
      <c r="B30" s="4" t="s">
        <v>35</v>
      </c>
      <c r="C30" s="4"/>
      <c r="D30" s="4"/>
      <c r="E30" s="4"/>
      <c r="F30" s="4"/>
      <c r="G30" s="4" t="s">
        <v>4</v>
      </c>
      <c r="H30" s="4"/>
      <c r="I30" s="4" t="s">
        <v>3</v>
      </c>
      <c r="J30" s="4">
        <v>22</v>
      </c>
      <c r="K30" s="4">
        <v>23</v>
      </c>
      <c r="L30" s="4">
        <v>24</v>
      </c>
      <c r="M30" s="4">
        <v>25</v>
      </c>
      <c r="N30" s="4">
        <v>26</v>
      </c>
      <c r="O30" s="4">
        <v>27</v>
      </c>
      <c r="P30" s="4">
        <v>28</v>
      </c>
      <c r="Q30" s="4">
        <v>29</v>
      </c>
      <c r="R30" s="4">
        <v>30</v>
      </c>
      <c r="S30" s="4">
        <v>31</v>
      </c>
      <c r="T30" s="4">
        <v>32</v>
      </c>
      <c r="U30" s="4">
        <v>33</v>
      </c>
      <c r="V30" s="4">
        <v>34</v>
      </c>
      <c r="W30" s="4">
        <v>35</v>
      </c>
      <c r="X30" s="4">
        <v>36</v>
      </c>
      <c r="Y30" s="4">
        <v>37</v>
      </c>
      <c r="Z30" s="4">
        <v>38</v>
      </c>
      <c r="AA30" s="4">
        <v>39</v>
      </c>
      <c r="AB30" s="4">
        <v>40</v>
      </c>
      <c r="AC30" s="4">
        <v>41</v>
      </c>
    </row>
    <row r="31" spans="1:29" x14ac:dyDescent="0.25">
      <c r="A31" s="13" t="s">
        <v>14</v>
      </c>
      <c r="B31" s="7" t="s">
        <v>33</v>
      </c>
      <c r="C31" s="4" t="s">
        <v>17</v>
      </c>
      <c r="E31" t="s">
        <v>10</v>
      </c>
      <c r="F31">
        <f>F32+F33</f>
        <v>2040</v>
      </c>
      <c r="G31" s="4">
        <f>calcFirstRunOut(J35:AC35)</f>
        <v>202041</v>
      </c>
      <c r="H31" s="4" t="s">
        <v>5</v>
      </c>
      <c r="J31" s="5">
        <v>11</v>
      </c>
      <c r="K31" s="5">
        <v>12</v>
      </c>
      <c r="L31" s="5">
        <v>21</v>
      </c>
      <c r="M31" s="5">
        <v>21</v>
      </c>
      <c r="N31" s="5">
        <v>11</v>
      </c>
      <c r="O31" s="5">
        <v>7</v>
      </c>
      <c r="P31" s="5">
        <v>18</v>
      </c>
      <c r="Q31" s="5">
        <v>23</v>
      </c>
      <c r="R31" s="5">
        <v>23</v>
      </c>
      <c r="S31" s="5">
        <v>0</v>
      </c>
      <c r="T31" s="5">
        <v>0</v>
      </c>
      <c r="U31" s="5">
        <v>0</v>
      </c>
      <c r="V31" s="5">
        <v>21</v>
      </c>
      <c r="W31" s="5">
        <v>30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</row>
    <row r="32" spans="1:29" x14ac:dyDescent="0.25">
      <c r="A32" s="13"/>
      <c r="B32" s="1">
        <v>9831600980</v>
      </c>
      <c r="C32" s="4" t="s">
        <v>17</v>
      </c>
      <c r="E32" t="s">
        <v>11</v>
      </c>
      <c r="F32">
        <v>2040</v>
      </c>
      <c r="G32" s="4"/>
      <c r="H32" s="4" t="s">
        <v>6</v>
      </c>
      <c r="J32">
        <v>288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3"/>
      <c r="B33" t="s">
        <v>15</v>
      </c>
      <c r="C33" s="4" t="s">
        <v>17</v>
      </c>
      <c r="E33" t="s">
        <v>12</v>
      </c>
      <c r="F33">
        <v>0</v>
      </c>
      <c r="G33" s="4"/>
      <c r="H33" s="4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3"/>
      <c r="B34" s="6" t="s">
        <v>16</v>
      </c>
      <c r="C34" s="4" t="s">
        <v>17</v>
      </c>
      <c r="E34" t="s">
        <v>37</v>
      </c>
      <c r="F34">
        <v>0</v>
      </c>
      <c r="G34" s="4"/>
      <c r="H34" s="4" t="s">
        <v>8</v>
      </c>
    </row>
    <row r="35" spans="1:29" x14ac:dyDescent="0.25">
      <c r="A35" s="13"/>
      <c r="B35" s="1" t="s">
        <v>34</v>
      </c>
      <c r="C35" s="4" t="s">
        <v>17</v>
      </c>
      <c r="E35" t="s">
        <v>38</v>
      </c>
      <c r="F35">
        <v>0</v>
      </c>
      <c r="G35" s="4"/>
      <c r="H35" s="4" t="s">
        <v>9</v>
      </c>
      <c r="J35" s="2">
        <f>F31+I32+I33-J31+J33+J34</f>
        <v>2029</v>
      </c>
      <c r="K35" s="2">
        <f>J35-K31+K33+K34</f>
        <v>2017</v>
      </c>
      <c r="L35" s="2">
        <f>K35-L31+L33+L34</f>
        <v>1996</v>
      </c>
      <c r="M35" s="2">
        <f>L35-M31+M33+M34</f>
        <v>1975</v>
      </c>
      <c r="N35" s="2">
        <f>M35-N31+N33+N34</f>
        <v>1964</v>
      </c>
      <c r="O35" s="2">
        <f>N35-O31+O33+O34</f>
        <v>1957</v>
      </c>
      <c r="P35" s="2">
        <f>O35-P31+P33+P34</f>
        <v>1939</v>
      </c>
      <c r="Q35" s="2">
        <f>P35-Q31+Q33+Q34</f>
        <v>1916</v>
      </c>
      <c r="R35" s="2">
        <f>Q35-R31+R33+R34</f>
        <v>1893</v>
      </c>
      <c r="S35" s="2">
        <f>R35-S31+S33+S34</f>
        <v>1893</v>
      </c>
      <c r="T35" s="2">
        <f>S35-T31+T33+T34</f>
        <v>1893</v>
      </c>
      <c r="U35" s="2">
        <f>T35-U31+U33+U34</f>
        <v>1893</v>
      </c>
      <c r="V35" s="2">
        <f>U35-V31+V33+V34</f>
        <v>1872</v>
      </c>
      <c r="W35" s="2">
        <f>V35-W31+W33+W34</f>
        <v>1842</v>
      </c>
      <c r="X35" s="2">
        <f>W35-X31+X33+X34</f>
        <v>1842</v>
      </c>
      <c r="Y35" s="2">
        <f>X35-Y31+Y33+Y34</f>
        <v>1842</v>
      </c>
      <c r="Z35" s="2">
        <f>Y35-Z31+Z33+Z34</f>
        <v>1842</v>
      </c>
      <c r="AA35" s="2">
        <f>Z35-AA31+AA33+AA34</f>
        <v>1842</v>
      </c>
      <c r="AB35" s="2">
        <f>AA35-AB31+AB33+AB34</f>
        <v>1842</v>
      </c>
      <c r="AC35" s="2">
        <f>AB35-AC31+AC33+AC34</f>
        <v>1842</v>
      </c>
    </row>
    <row r="37" spans="1:29" x14ac:dyDescent="0.25">
      <c r="A37" s="4" t="s">
        <v>0</v>
      </c>
      <c r="B37" s="4" t="s">
        <v>19</v>
      </c>
      <c r="C37" s="4"/>
      <c r="D37" s="4"/>
      <c r="E37" s="4"/>
      <c r="F37" s="4"/>
      <c r="G37" s="4" t="s">
        <v>4</v>
      </c>
      <c r="H37" s="4"/>
      <c r="I37" s="4" t="s">
        <v>3</v>
      </c>
      <c r="J37" s="4">
        <v>22</v>
      </c>
      <c r="K37" s="4">
        <v>23</v>
      </c>
      <c r="L37" s="4">
        <v>24</v>
      </c>
      <c r="M37" s="4">
        <v>25</v>
      </c>
      <c r="N37" s="4">
        <v>26</v>
      </c>
      <c r="O37" s="4">
        <v>27</v>
      </c>
      <c r="P37" s="4">
        <v>28</v>
      </c>
      <c r="Q37" s="4">
        <v>29</v>
      </c>
      <c r="R37" s="4">
        <v>30</v>
      </c>
      <c r="S37" s="4">
        <v>31</v>
      </c>
      <c r="T37" s="4">
        <v>32</v>
      </c>
      <c r="U37" s="4">
        <v>33</v>
      </c>
      <c r="V37" s="4">
        <v>34</v>
      </c>
      <c r="W37" s="4">
        <v>35</v>
      </c>
      <c r="X37" s="4">
        <v>36</v>
      </c>
      <c r="Y37" s="4">
        <v>37</v>
      </c>
      <c r="Z37" s="4">
        <v>38</v>
      </c>
      <c r="AA37" s="4">
        <v>39</v>
      </c>
      <c r="AB37" s="4">
        <v>40</v>
      </c>
      <c r="AC37" s="4">
        <v>41</v>
      </c>
    </row>
    <row r="38" spans="1:29" x14ac:dyDescent="0.25">
      <c r="A38" s="13" t="s">
        <v>14</v>
      </c>
      <c r="B38" s="7" t="s">
        <v>20</v>
      </c>
      <c r="C38" s="4" t="s">
        <v>17</v>
      </c>
      <c r="E38" t="s">
        <v>10</v>
      </c>
      <c r="F38">
        <f>F39+F40</f>
        <v>806</v>
      </c>
      <c r="G38" s="4">
        <f>calcFirstRunOut(J42:AC42)</f>
        <v>202041</v>
      </c>
      <c r="H38" s="4" t="s">
        <v>5</v>
      </c>
      <c r="J38" s="5">
        <v>13</v>
      </c>
      <c r="K38" s="5">
        <v>12</v>
      </c>
      <c r="L38" s="5">
        <v>21</v>
      </c>
      <c r="M38" s="5">
        <v>21</v>
      </c>
      <c r="N38" s="5">
        <v>10</v>
      </c>
      <c r="O38" s="5">
        <v>8</v>
      </c>
      <c r="P38" s="5">
        <v>18</v>
      </c>
      <c r="Q38" s="5">
        <v>23</v>
      </c>
      <c r="R38" s="5">
        <v>23</v>
      </c>
      <c r="S38" s="5">
        <v>0</v>
      </c>
      <c r="T38" s="5">
        <v>0</v>
      </c>
      <c r="U38" s="5">
        <v>0</v>
      </c>
      <c r="V38" s="5">
        <v>19</v>
      </c>
      <c r="W38" s="5">
        <v>7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</row>
    <row r="39" spans="1:29" x14ac:dyDescent="0.25">
      <c r="A39" s="13"/>
      <c r="B39" s="1">
        <v>9831666480</v>
      </c>
      <c r="C39" s="4" t="s">
        <v>17</v>
      </c>
      <c r="E39" t="s">
        <v>11</v>
      </c>
      <c r="F39">
        <v>806</v>
      </c>
      <c r="G39" s="4"/>
      <c r="H39" s="4" t="s">
        <v>6</v>
      </c>
      <c r="J39">
        <v>0</v>
      </c>
      <c r="K39">
        <v>126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3"/>
      <c r="B40" t="s">
        <v>15</v>
      </c>
      <c r="C40" s="4" t="s">
        <v>17</v>
      </c>
      <c r="E40" t="s">
        <v>12</v>
      </c>
      <c r="F40">
        <v>0</v>
      </c>
      <c r="G40" s="4"/>
      <c r="H40" s="4" t="s">
        <v>7</v>
      </c>
      <c r="J40" s="8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3"/>
      <c r="B41" s="6" t="s">
        <v>16</v>
      </c>
      <c r="C41" s="4" t="s">
        <v>17</v>
      </c>
      <c r="E41" t="s">
        <v>37</v>
      </c>
      <c r="F41">
        <v>0</v>
      </c>
      <c r="G41" s="4"/>
      <c r="H41" s="4" t="s">
        <v>8</v>
      </c>
    </row>
    <row r="42" spans="1:29" x14ac:dyDescent="0.25">
      <c r="A42" s="13"/>
      <c r="B42" s="1" t="s">
        <v>18</v>
      </c>
      <c r="C42" s="4" t="s">
        <v>17</v>
      </c>
      <c r="E42" t="s">
        <v>38</v>
      </c>
      <c r="F42">
        <v>0</v>
      </c>
      <c r="G42" s="4"/>
      <c r="H42" s="4" t="s">
        <v>9</v>
      </c>
      <c r="J42" s="2">
        <f>F38+I39+I40-J38+J40+J41</f>
        <v>793</v>
      </c>
      <c r="K42" s="2">
        <f>J42-K38+K40+K41</f>
        <v>781</v>
      </c>
      <c r="L42" s="2">
        <f>K42-L38+L40+L41</f>
        <v>760</v>
      </c>
      <c r="M42" s="2">
        <f>L42-M38+M40+M41</f>
        <v>739</v>
      </c>
      <c r="N42" s="2">
        <f>M42-N38+N40+N41</f>
        <v>729</v>
      </c>
      <c r="O42" s="2">
        <f>N42-O38+O40+O41</f>
        <v>721</v>
      </c>
      <c r="P42" s="2">
        <f>O42-P38+P40+P41</f>
        <v>703</v>
      </c>
      <c r="Q42" s="2">
        <f>P42-Q38+Q40+Q41</f>
        <v>680</v>
      </c>
      <c r="R42" s="2">
        <f>Q42-R38+R40+R41</f>
        <v>657</v>
      </c>
      <c r="S42" s="2">
        <f>R42-S38+S40+S41</f>
        <v>657</v>
      </c>
      <c r="T42" s="2">
        <f>S42-T38+T40+T41</f>
        <v>657</v>
      </c>
      <c r="U42" s="2">
        <f>T42-U38+U40+U41</f>
        <v>657</v>
      </c>
      <c r="V42" s="2">
        <f>U42-V38+V40+V41</f>
        <v>638</v>
      </c>
      <c r="W42" s="2">
        <f>V42-W38+W40+W41</f>
        <v>631</v>
      </c>
      <c r="X42" s="2">
        <f>W42-X38+X40+X41</f>
        <v>631</v>
      </c>
      <c r="Y42" s="2">
        <f>X42-Y38+Y40+Y41</f>
        <v>631</v>
      </c>
      <c r="Z42" s="2">
        <f>Y42-Z38+Z40+Z41</f>
        <v>631</v>
      </c>
      <c r="AA42" s="2">
        <f>Z42-AA38+AA40+AA41</f>
        <v>631</v>
      </c>
      <c r="AB42" s="2">
        <f>AA42-AB38+AB40+AB41</f>
        <v>631</v>
      </c>
      <c r="AC42" s="2">
        <f>AB42-AC38+AC40+AC41</f>
        <v>631</v>
      </c>
    </row>
    <row r="44" spans="1:29" x14ac:dyDescent="0.25">
      <c r="A44" s="4" t="s">
        <v>0</v>
      </c>
      <c r="B44" s="4" t="s">
        <v>19</v>
      </c>
      <c r="C44" s="4"/>
      <c r="D44" s="4"/>
      <c r="E44" s="4"/>
      <c r="F44" s="4"/>
      <c r="G44" s="4" t="s">
        <v>4</v>
      </c>
      <c r="H44" s="4"/>
      <c r="I44" s="4" t="s">
        <v>3</v>
      </c>
      <c r="J44" s="4">
        <v>22</v>
      </c>
      <c r="K44" s="4">
        <v>23</v>
      </c>
      <c r="L44" s="4">
        <v>24</v>
      </c>
      <c r="M44" s="4">
        <v>25</v>
      </c>
      <c r="N44" s="4">
        <v>26</v>
      </c>
      <c r="O44" s="4">
        <v>27</v>
      </c>
      <c r="P44" s="4">
        <v>28</v>
      </c>
      <c r="Q44" s="4">
        <v>29</v>
      </c>
      <c r="R44" s="4">
        <v>30</v>
      </c>
      <c r="S44" s="4">
        <v>31</v>
      </c>
      <c r="T44" s="4">
        <v>32</v>
      </c>
      <c r="U44" s="4">
        <v>33</v>
      </c>
      <c r="V44" s="4">
        <v>34</v>
      </c>
      <c r="W44" s="4">
        <v>35</v>
      </c>
      <c r="X44" s="4">
        <v>36</v>
      </c>
      <c r="Y44" s="4">
        <v>37</v>
      </c>
      <c r="Z44" s="4">
        <v>38</v>
      </c>
      <c r="AA44" s="4">
        <v>39</v>
      </c>
      <c r="AB44" s="4">
        <v>40</v>
      </c>
      <c r="AC44" s="4">
        <v>41</v>
      </c>
    </row>
    <row r="45" spans="1:29" x14ac:dyDescent="0.25">
      <c r="A45" s="13" t="s">
        <v>14</v>
      </c>
      <c r="B45" s="7" t="s">
        <v>20</v>
      </c>
      <c r="C45" s="4" t="s">
        <v>17</v>
      </c>
      <c r="E45" t="s">
        <v>10</v>
      </c>
      <c r="F45">
        <f>F46+F47</f>
        <v>810</v>
      </c>
      <c r="G45" s="4">
        <f>calcFirstRunOut(J49:AC49)</f>
        <v>202041</v>
      </c>
      <c r="H45" s="4" t="s">
        <v>5</v>
      </c>
      <c r="J45" s="5">
        <v>13</v>
      </c>
      <c r="K45" s="5">
        <v>12</v>
      </c>
      <c r="L45" s="5">
        <v>21</v>
      </c>
      <c r="M45" s="5">
        <v>21</v>
      </c>
      <c r="N45" s="5">
        <v>10</v>
      </c>
      <c r="O45" s="5">
        <v>8</v>
      </c>
      <c r="P45" s="5">
        <v>18</v>
      </c>
      <c r="Q45" s="5">
        <v>23</v>
      </c>
      <c r="R45" s="5">
        <v>23</v>
      </c>
      <c r="S45" s="5">
        <v>0</v>
      </c>
      <c r="T45" s="5">
        <v>0</v>
      </c>
      <c r="U45" s="5">
        <v>0</v>
      </c>
      <c r="V45" s="5">
        <v>19</v>
      </c>
      <c r="W45" s="5">
        <v>7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</row>
    <row r="46" spans="1:29" x14ac:dyDescent="0.25">
      <c r="A46" s="13"/>
      <c r="B46" s="1">
        <v>9831666780</v>
      </c>
      <c r="C46" s="4" t="s">
        <v>17</v>
      </c>
      <c r="E46" t="s">
        <v>11</v>
      </c>
      <c r="F46">
        <v>810</v>
      </c>
      <c r="G46" s="4"/>
      <c r="H46" s="4" t="s">
        <v>6</v>
      </c>
      <c r="J46">
        <v>0</v>
      </c>
      <c r="K46">
        <v>126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3"/>
      <c r="B47" t="s">
        <v>15</v>
      </c>
      <c r="C47" s="4" t="s">
        <v>17</v>
      </c>
      <c r="E47" t="s">
        <v>12</v>
      </c>
      <c r="F47">
        <v>0</v>
      </c>
      <c r="G47" s="4"/>
      <c r="H47" s="4" t="s">
        <v>7</v>
      </c>
      <c r="J47" s="8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3"/>
      <c r="B48" s="6" t="s">
        <v>16</v>
      </c>
      <c r="C48" s="4" t="s">
        <v>17</v>
      </c>
      <c r="E48" t="s">
        <v>37</v>
      </c>
      <c r="F48">
        <v>0</v>
      </c>
      <c r="G48" s="4"/>
      <c r="H48" s="4" t="s">
        <v>8</v>
      </c>
    </row>
    <row r="49" spans="1:29" x14ac:dyDescent="0.25">
      <c r="A49" s="13"/>
      <c r="B49" s="1" t="s">
        <v>18</v>
      </c>
      <c r="C49" s="4" t="s">
        <v>17</v>
      </c>
      <c r="E49" t="s">
        <v>38</v>
      </c>
      <c r="F49">
        <v>0</v>
      </c>
      <c r="G49" s="4"/>
      <c r="H49" s="4" t="s">
        <v>9</v>
      </c>
      <c r="J49" s="2">
        <f>F45+I46+I47-J45+J47+J48</f>
        <v>797</v>
      </c>
      <c r="K49" s="2">
        <f>J49-K45+K47+K48</f>
        <v>785</v>
      </c>
      <c r="L49" s="2">
        <f>K49-L45+L47+L48</f>
        <v>764</v>
      </c>
      <c r="M49" s="2">
        <f>L49-M45+M47+M48</f>
        <v>743</v>
      </c>
      <c r="N49" s="2">
        <f>M49-N45+N47+N48</f>
        <v>733</v>
      </c>
      <c r="O49" s="2">
        <f>N49-O45+O47+O48</f>
        <v>725</v>
      </c>
      <c r="P49" s="2">
        <f>O49-P45+P47+P48</f>
        <v>707</v>
      </c>
      <c r="Q49" s="2">
        <f>P49-Q45+Q47+Q48</f>
        <v>684</v>
      </c>
      <c r="R49" s="2">
        <f>Q49-R45+R47+R48</f>
        <v>661</v>
      </c>
      <c r="S49" s="2">
        <f>R49-S45+S47+S48</f>
        <v>661</v>
      </c>
      <c r="T49" s="2">
        <f>S49-T45+T47+T48</f>
        <v>661</v>
      </c>
      <c r="U49" s="2">
        <f>T49-U45+U47+U48</f>
        <v>661</v>
      </c>
      <c r="V49" s="2">
        <f>U49-V45+V47+V48</f>
        <v>642</v>
      </c>
      <c r="W49" s="2">
        <f>V49-W45+W47+W48</f>
        <v>635</v>
      </c>
      <c r="X49" s="2">
        <f>W49-X45+X47+X48</f>
        <v>635</v>
      </c>
      <c r="Y49" s="2">
        <f>X49-Y45+Y47+Y48</f>
        <v>635</v>
      </c>
      <c r="Z49" s="2">
        <f>Y49-Z45+Z47+Z48</f>
        <v>635</v>
      </c>
      <c r="AA49" s="2">
        <f>Z49-AA45+AA47+AA48</f>
        <v>635</v>
      </c>
      <c r="AB49" s="2">
        <f>AA49-AB45+AB47+AB48</f>
        <v>635</v>
      </c>
      <c r="AC49" s="2">
        <f>AB49-AC45+AC47+AC48</f>
        <v>635</v>
      </c>
    </row>
    <row r="51" spans="1:29" x14ac:dyDescent="0.25">
      <c r="A51" s="4" t="s">
        <v>0</v>
      </c>
      <c r="B51" s="4" t="s">
        <v>22</v>
      </c>
      <c r="C51" s="4"/>
      <c r="D51" s="4"/>
      <c r="E51" s="4"/>
      <c r="F51" s="4"/>
      <c r="G51" s="4" t="s">
        <v>4</v>
      </c>
      <c r="H51" s="4"/>
      <c r="I51" s="4" t="s">
        <v>3</v>
      </c>
      <c r="J51" s="4">
        <v>22</v>
      </c>
      <c r="K51" s="4">
        <v>23</v>
      </c>
      <c r="L51" s="4">
        <v>24</v>
      </c>
      <c r="M51" s="4">
        <v>25</v>
      </c>
      <c r="N51" s="4">
        <v>26</v>
      </c>
      <c r="O51" s="4">
        <v>27</v>
      </c>
      <c r="P51" s="4">
        <v>28</v>
      </c>
      <c r="Q51" s="4">
        <v>29</v>
      </c>
      <c r="R51" s="4">
        <v>30</v>
      </c>
      <c r="S51" s="4">
        <v>31</v>
      </c>
      <c r="T51" s="4">
        <v>32</v>
      </c>
      <c r="U51" s="4">
        <v>33</v>
      </c>
      <c r="V51" s="4">
        <v>34</v>
      </c>
      <c r="W51" s="4">
        <v>35</v>
      </c>
      <c r="X51" s="4">
        <v>36</v>
      </c>
      <c r="Y51" s="4">
        <v>37</v>
      </c>
      <c r="Z51" s="4">
        <v>38</v>
      </c>
      <c r="AA51" s="4">
        <v>39</v>
      </c>
      <c r="AB51" s="4">
        <v>40</v>
      </c>
      <c r="AC51" s="4">
        <v>41</v>
      </c>
    </row>
    <row r="52" spans="1:29" x14ac:dyDescent="0.25">
      <c r="A52" s="13" t="s">
        <v>14</v>
      </c>
      <c r="B52" s="7" t="s">
        <v>21</v>
      </c>
      <c r="C52" s="4" t="s">
        <v>17</v>
      </c>
      <c r="E52" t="s">
        <v>10</v>
      </c>
      <c r="F52">
        <f>F53+F54</f>
        <v>643</v>
      </c>
      <c r="G52" s="4">
        <f>calcFirstRunOut(J56:AC56)</f>
        <v>202041</v>
      </c>
      <c r="H52" s="4" t="s">
        <v>5</v>
      </c>
      <c r="J52" s="5">
        <v>8</v>
      </c>
      <c r="K52" s="5">
        <v>12</v>
      </c>
      <c r="L52" s="5">
        <v>21</v>
      </c>
      <c r="M52" s="5">
        <v>21</v>
      </c>
      <c r="N52" s="5">
        <v>11</v>
      </c>
      <c r="O52" s="5">
        <v>7</v>
      </c>
      <c r="P52" s="5">
        <v>18</v>
      </c>
      <c r="Q52" s="5">
        <v>23</v>
      </c>
      <c r="R52" s="5">
        <v>23</v>
      </c>
      <c r="S52" s="5">
        <v>0</v>
      </c>
      <c r="T52" s="5">
        <v>0</v>
      </c>
      <c r="U52" s="5">
        <v>0</v>
      </c>
      <c r="V52" s="5">
        <v>22</v>
      </c>
      <c r="W52" s="5">
        <v>29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</row>
    <row r="53" spans="1:29" x14ac:dyDescent="0.25">
      <c r="A53" s="13"/>
      <c r="B53" s="1">
        <v>9833032280</v>
      </c>
      <c r="C53" s="4" t="s">
        <v>17</v>
      </c>
      <c r="E53" t="s">
        <v>11</v>
      </c>
      <c r="F53">
        <v>643</v>
      </c>
      <c r="G53" s="4"/>
      <c r="H53" s="4" t="s">
        <v>6</v>
      </c>
      <c r="J53">
        <v>345</v>
      </c>
      <c r="K53">
        <v>540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3"/>
      <c r="B54" t="s">
        <v>15</v>
      </c>
      <c r="C54" s="4" t="s">
        <v>17</v>
      </c>
      <c r="E54" t="s">
        <v>12</v>
      </c>
      <c r="F54">
        <v>0</v>
      </c>
      <c r="G54" s="4"/>
      <c r="H54" s="4" t="s">
        <v>7</v>
      </c>
      <c r="J54" s="8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3"/>
      <c r="B55" s="6" t="s">
        <v>16</v>
      </c>
      <c r="C55" s="4" t="s">
        <v>17</v>
      </c>
      <c r="E55" t="s">
        <v>37</v>
      </c>
      <c r="F55">
        <v>0</v>
      </c>
      <c r="G55" s="4"/>
      <c r="H55" s="4" t="s">
        <v>8</v>
      </c>
    </row>
    <row r="56" spans="1:29" x14ac:dyDescent="0.25">
      <c r="A56" s="13"/>
      <c r="B56" s="1" t="s">
        <v>32</v>
      </c>
      <c r="C56" s="4" t="s">
        <v>17</v>
      </c>
      <c r="E56" t="s">
        <v>38</v>
      </c>
      <c r="F56">
        <v>0</v>
      </c>
      <c r="G56" s="4"/>
      <c r="H56" s="4" t="s">
        <v>9</v>
      </c>
      <c r="J56" s="2">
        <f>F52+I53+I54-J52+J54+J55</f>
        <v>635</v>
      </c>
      <c r="K56" s="2">
        <f>J56-K52+K54+K55</f>
        <v>623</v>
      </c>
      <c r="L56" s="2">
        <f>K56-L52+L54+L55</f>
        <v>602</v>
      </c>
      <c r="M56" s="2">
        <f>L56-M52+M54+M55</f>
        <v>581</v>
      </c>
      <c r="N56" s="2">
        <f>M56-N52+N54+N55</f>
        <v>570</v>
      </c>
      <c r="O56" s="2">
        <f>N56-O52+O54+O55</f>
        <v>563</v>
      </c>
      <c r="P56" s="2">
        <f>O56-P52+P54+P55</f>
        <v>545</v>
      </c>
      <c r="Q56" s="2">
        <f>P56-Q52+Q54+Q55</f>
        <v>522</v>
      </c>
      <c r="R56" s="2">
        <f>Q56-R52+R54+R55</f>
        <v>499</v>
      </c>
      <c r="S56" s="2">
        <f>R56-S52+S54+S55</f>
        <v>499</v>
      </c>
      <c r="T56" s="2">
        <f>S56-T52+T54+T55</f>
        <v>499</v>
      </c>
      <c r="U56" s="2">
        <f>T56-U52+U54+U55</f>
        <v>499</v>
      </c>
      <c r="V56" s="2">
        <f>U56-V52+V54+V55</f>
        <v>477</v>
      </c>
      <c r="W56" s="2">
        <f>V56-W52+W54+W55</f>
        <v>448</v>
      </c>
      <c r="X56" s="2">
        <f>W56-X52+X54+X55</f>
        <v>448</v>
      </c>
      <c r="Y56" s="2">
        <f>X56-Y52+Y54+Y55</f>
        <v>448</v>
      </c>
      <c r="Z56" s="2">
        <f>Y56-Z52+Z54+Z55</f>
        <v>448</v>
      </c>
      <c r="AA56" s="2">
        <f>Z56-AA52+AA54+AA55</f>
        <v>448</v>
      </c>
      <c r="AB56" s="2">
        <f>AA56-AB52+AB54+AB55</f>
        <v>448</v>
      </c>
      <c r="AC56" s="2">
        <f>AB56-AC52+AC54+AC55</f>
        <v>448</v>
      </c>
    </row>
  </sheetData>
  <mergeCells count="8">
    <mergeCell ref="A45:A49"/>
    <mergeCell ref="A52:A56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legacyDrawing r:id="rId1"/>
</worksheet>
</file>

<file path=customUI/_rels/customUI14.xml.rels><?xml version="1.0" encoding="UTF-8" standalone="yes"?>
<Relationships xmlns="http://schemas.openxmlformats.org/package/2006/relationships"><Relationship Id="infBTN" Type="http://schemas.openxmlformats.org/officeDocument/2006/relationships/image" Target="images/infBTN.png"/><Relationship Id="GTBN" Type="http://schemas.openxmlformats.org/officeDocument/2006/relationships/image" Target="images/GTBN.png"/><Relationship Id="BTN_inf" Type="http://schemas.openxmlformats.org/officeDocument/2006/relationships/image" Target="images/BTN_inf.png"/><Relationship Id="CorailJPG" Type="http://schemas.openxmlformats.org/officeDocument/2006/relationships/image" Target="images/CorailJPG.png"/></Relationships>
</file>

<file path=customUI/customUI14.xml><?xml version="1.0" encoding="utf-8"?>
<customUI xmlns="http://schemas.microsoft.com/office/2009/07/customui">
  <ribbon startFromScratch="false">
    <tabs>
      <tab id="COV1" label="COVERAGE">
        <group id="RUN" label="RUN Coverage">
          <button id="B1" label="RUN report" image="CorailJPG" size="large" onAction="RunMain"/>
        </group>
        <group id="Clear" label="Clear Group">
          <button id="BN" label="Delete Old Sheets" imageMso="DeletePagePreviousVersion" size="large" onAction="deleteOld"/>
          <button id="DS" label="Delete THIS Sheet" imageMso="CellsDelete" size="large" onAction="deleteThisSheet"/>
          <button id="BN2" label="Clear Input data" imageMso="BackgroundRemovalClose" size="large" onAction="clearList"/>
        </group>
        <group id="Inf" label="Information">
          <button id="IN1" label="Status Information" image="infBTN" size="large" onAction="statusSHow"/>
        </group>
        <group id="GO" label="Go To Input">
          <button id="GT1" label="Input List" image="GTBN" size="large" onAction="goToInp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Sheet1</vt:lpstr>
    </vt:vector>
  </TitlesOfParts>
  <Company>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Forrest</dc:creator>
  <cp:lastModifiedBy>Mateusz Milewski</cp:lastModifiedBy>
  <dcterms:created xsi:type="dcterms:W3CDTF">2019-05-20T07:03:23Z</dcterms:created>
  <dcterms:modified xsi:type="dcterms:W3CDTF">2020-05-27T05:33:21Z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
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1570" windowHeight="8175" tabRatio="907" activeTab="4"/>
  </bookViews>
  <sheets>
    <sheet name="input" sheetId="1" r:id="rId1"/>
    <sheet name="output20191001" sheetId="449" r:id="rId2"/>
    <sheet name="Sheet1" sheetId="450" r:id="rId3"/>
    <sheet name="Sheet3" sheetId="452" r:id="rId4"/>
    <sheet name="Sheet4" sheetId="453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1" i="450" l="1"/>
  <c r="AB21" i="450"/>
  <c r="AA21" i="450"/>
  <c r="Z21" i="450"/>
  <c r="Y21" i="450"/>
  <c r="X21" i="450"/>
  <c r="W21" i="450"/>
  <c r="V21" i="450"/>
  <c r="U21" i="450"/>
  <c r="T21" i="450"/>
  <c r="S21" i="450"/>
  <c r="R21" i="450"/>
  <c r="Q21" i="450"/>
  <c r="P21" i="450"/>
  <c r="O21" i="450"/>
  <c r="N21" i="450"/>
  <c r="M21" i="450"/>
  <c r="L21" i="450"/>
  <c r="K21" i="450"/>
  <c r="J21" i="450"/>
  <c r="F17" i="450"/>
  <c r="AC14" i="450"/>
  <c r="AB14" i="450"/>
  <c r="AA14" i="450"/>
  <c r="Z14" i="450"/>
  <c r="Y14" i="450"/>
  <c r="X14" i="450"/>
  <c r="W14" i="450"/>
  <c r="V14" i="450"/>
  <c r="U14" i="450"/>
  <c r="T14" i="450"/>
  <c r="S14" i="450"/>
  <c r="R14" i="450"/>
  <c r="Q14" i="450"/>
  <c r="P14" i="450"/>
  <c r="O14" i="450"/>
  <c r="N14" i="450"/>
  <c r="M14" i="450"/>
  <c r="L14" i="450"/>
  <c r="K14" i="450"/>
  <c r="J14" i="450"/>
  <c r="F10" i="450"/>
  <c r="AC7" i="450"/>
  <c r="AB7" i="450"/>
  <c r="AA7" i="450"/>
  <c r="Z7" i="450"/>
  <c r="Y7" i="450"/>
  <c r="X7" i="450"/>
  <c r="W7" i="450"/>
  <c r="V7" i="450"/>
  <c r="U7" i="450"/>
  <c r="T7" i="450"/>
  <c r="S7" i="450"/>
  <c r="R7" i="450"/>
  <c r="Q7" i="450"/>
  <c r="P7" i="450"/>
  <c r="O7" i="450"/>
  <c r="N7" i="450"/>
  <c r="M7" i="450"/>
  <c r="L7" i="450"/>
  <c r="K7" i="450"/>
  <c r="J7" i="450"/>
  <c r="F3" i="450"/>
  <c r="G17" i="450"/>
  <c r="G10" i="450"/>
  <c r="AC21" i="449" l="1"/>
  <c r="AB21" i="449"/>
  <c r="AA21" i="449"/>
  <c r="Z21" i="449"/>
  <c r="Y21" i="449"/>
  <c r="X21" i="449"/>
  <c r="W21" i="449"/>
  <c r="V21" i="449"/>
  <c r="U21" i="449"/>
  <c r="T21" i="449"/>
  <c r="S21" i="449"/>
  <c r="R21" i="449"/>
  <c r="Q21" i="449"/>
  <c r="P21" i="449"/>
  <c r="O21" i="449"/>
  <c r="N21" i="449"/>
  <c r="M21" i="449"/>
  <c r="L21" i="449"/>
  <c r="K21" i="449"/>
  <c r="J21" i="449"/>
  <c r="F17" i="449"/>
  <c r="AC14" i="449"/>
  <c r="AB14" i="449"/>
  <c r="AA14" i="449"/>
  <c r="Z14" i="449"/>
  <c r="Y14" i="449"/>
  <c r="X14" i="449"/>
  <c r="W14" i="449"/>
  <c r="V14" i="449"/>
  <c r="U14" i="449"/>
  <c r="T14" i="449"/>
  <c r="S14" i="449"/>
  <c r="R14" i="449"/>
  <c r="Q14" i="449"/>
  <c r="P14" i="449"/>
  <c r="O14" i="449"/>
  <c r="N14" i="449"/>
  <c r="M14" i="449"/>
  <c r="L14" i="449"/>
  <c r="K14" i="449"/>
  <c r="J14" i="449"/>
  <c r="F10" i="449"/>
  <c r="AC7" i="449"/>
  <c r="AB7" i="449"/>
  <c r="AA7" i="449"/>
  <c r="Z7" i="449"/>
  <c r="Y7" i="449"/>
  <c r="X7" i="449"/>
  <c r="W7" i="449"/>
  <c r="V7" i="449"/>
  <c r="U7" i="449"/>
  <c r="T7" i="449"/>
  <c r="S7" i="449"/>
  <c r="R7" i="449"/>
  <c r="Q7" i="449"/>
  <c r="P7" i="449"/>
  <c r="O7" i="449"/>
  <c r="N7" i="449"/>
  <c r="M7" i="449"/>
  <c r="L7" i="449"/>
  <c r="K7" i="449"/>
  <c r="J7" i="449"/>
  <c r="F3" i="449"/>
  <c r="G3" i="449"/>
  <c r="G17" i="449"/>
  <c r="G10" i="449"/>
  <c r="G3" i="450"/>
</calcChain>
</file>

<file path=xl/comments1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2019-09-10 06:00:00 2019-11-08 10:00:00
60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2019-09-10 06:00:00  2019-11-08 10:00:00
60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2019-09-17 06:00:00 2019-11-04 10:00:00
63  A008N4 01 A008N4 02 Order DT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2019-09-17 06:00:00 2019-11-15 10:00:00
63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2019-09-17 06:00:00  2019-11-04 10:00:00
63  A008N4 01  A008N4 02  Order DT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2019-09-17 06:00:00  2019-11-15 10:00:00
63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</commentList>
</comments>
</file>

<file path=xl/comments2.xml><?xml version="1.0" encoding="utf-8"?>
<comments xmlns="http://schemas.openxmlformats.org/spreadsheetml/2006/main">
  <authors>
    <author>Mateusz Milewski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2019-08-28 06:00:00 2019-10-28 09:30:00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2019-09-10 06:00:00 2019-11-08 10:00:00
60  A004HP 01 A004HP 01 Order AN 2019-09-10 06:00:00 2019-11-08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AN 2019-09-17 06:00:00 2019-11-15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DT 2019-09-17 06:00:00 2019-11-18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60  A004HP 01 A004HP 01 Order EF 2019-09-24 06:00:00 2019-11-23 06:00:00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2019-08-28 06:00:00  2019-10-28 09:30:00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2019-09-10 06:00:00  2019-11-08 10:00:00
60  A004HP 01  A004HP 01  Order AN  2019-09-10 06:00:00  2019-11-08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2019-09-17 06:00:00  2019-11-15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DT  2019-09-17 06:00:00  2019-11-18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60  A004HP 01  A004HP 01  Order EF  2019-09-24 06:00:00  2019-11-23 06:00:00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2019-08-07 06:00:00 2019-09-30 10:00:00
63  A008N4 01 A008N4 02 Order AN 2019-08-07 06:00:00 2019-09-30 10:00:00
63  A008N4 01 A008N4 02 Order AN 2019-08-07 06:00:00 2019-09-30 10:00:00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2019-08-07 06:00:00  2019-09-30 10:00:00
63  A008N4 01  A008N4 02  Order AN  2019-08-07 06:00:00  2019-09-30 10:00:00
63  A008N4 01  A008N4 02  Order AN  2019-08-07 06:00:00  2019-09-30 10:00:00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30-09-2019 - 06-10-2019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07-10-2019 - 13-10-2019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14-10-2019 - 20-10-2019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21-10-2019 - 27-10-2019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28-10-2019 - 03-11-2019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04-11-2019 - 10-11-2019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11-11-2019 - 17-11-2019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18-11-2019 - 24-11-2019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25-11-2019 - 01-12-2019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2019-09-30 EN 0
2019-10-01 EN 0
2019-10-02 EN 0
2019-10-03 EN 0
2019-10-04 EN 0
2019-10-05 EN 0
2019-10-06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2019-10-07 EN 0
2019-10-08 EN 0
2019-10-09 EN 0
2019-10-10 EN 0
2019-10-11 EN 0
2019-10-12 EN 0
2019-10-13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2019-10-14 EN 0
2019-10-15 EN 0
2019-10-16 EN 0
2019-10-17 EN 0
2019-10-18 EN 0
2019-10-19 EN 0
2019-10-20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2019-10-21 EN 0
2019-10-22 EN 0
2019-10-23 EN 0
2019-10-24 EN 0
2019-10-25 EN 0
2019-10-26 EN 0
2019-10-27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2019-10-28 EN 0
2019-10-29 EN 0
2019-10-30 EN 0
2019-10-31 EN 0
2019-11-01 EN 0
2019-11-02 EN 0
2019-11-03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2019-11-04 EN 0
2019-11-05 EN 0
2019-11-06 EN 0
2019-11-07 EN 0
2019-11-08 EN 0
2019-11-09 EN 0
2019-11-10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2019-11-11 EN 0
2019-11-12 EN 0
2019-11-13 EN 0
2019-11-14 EN 0
2019-11-15 EN 0
2019-11-16 EN 0
2019-11-17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2019-11-18 EN 0
2019-11-19 EN 0
2019-11-20 EN 0
2019-11-21 EN 0
2019-11-22 EN 0
2019-11-23 EN 0
2019-11-24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2019-11-25 EN 0
2019-11-26 EN 0
2019-11-27 EN 0
2019-11-28 EN 0
2019-11-29 EN 0
2019-11-30 EN 0
2019-12-01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2019-07-31 06:00:00 2019-10-01 09:30:00
63  A008N4 01 A008N4 02 Order AT 2019-07-31 06:00:00 2019-10-01 09:30:00
63  A008N4 01 A008N4 02 Order AT 2019-07-31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63  A008N4 01 A008N4 02 Order AT 2019-08-07 06:00:00 2019-10-01 09:30:00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2019-08-14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63  A008N4 01 A008N4 02 Order AT 2019-09-04 06:00:00 2019-10-12 09:30:00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63  A008N4 01 A008N4 02 Order DT 2019-08-28 06:00:00 2019-10-24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2019-09-11 06:00:00 2019-11-04 10:00:00
63  A008N4 01 A008N4 02 Order DT 2019-09-17 06:00:00 2019-11-04 10:00:00
63  A008N4 01 A008N4 02 Order DT 2019-09-17 06:00:00 2019-11-04 10:00:00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AN 2019-09-17 06:00:00 2019-11-15 10:00:00
63  A008N4 01 A008N4 02 Order AN 2019-09-17 06:00:00 2019-11-15 10:00:00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EO 2019-09-24 06:00:00 2019-11-22 10:00:00
63  A008N4 01 A008N4 02 Order EF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EO 2019-09-24 06:00:00 2019-11-22 10:00:00
63  A008N4 01 A008N4 02 Order EF 2019-09-24 06:00:00 2019-11-22 10:00:00
63  A008N4 01 A008N4 02 Order EF 2019-09-24 06:00:00 2019-11-22 10:00:00
63  A008N4 01 A008N4 02 Order EF 2019-09-24 06:00:00 2019-11-22 10:00:00
63  A008N4 01 A008N4 02 Order EF 2019-09-24 06:00:00 2019-11-22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2019-07-31 06:00:00  2019-10-01 09:30:00
63  A008N4 01  A008N4 02  Order AT  2019-07-31 06:00:00  2019-10-01 09:30:00
63  A008N4 01  A008N4 02  Order AT  2019-07-31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63  A008N4 01  A008N4 02  Order AT  2019-08-07 06:00:00  2019-10-01 09:30:00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2019-08-14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63  A008N4 01  A008N4 02  Order AT  2019-09-04 06:00:00  2019-10-12 09:30:00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63  A008N4 01  A008N4 02  Order DT  2019-08-28 06:00:00  2019-10-24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2019-09-11 06:00:00  2019-11-04 10:00:00
63  A008N4 01  A008N4 02  Order DT  2019-09-17 06:00:00  2019-11-04 10:00:00
63  A008N4 01  A008N4 02  Order DT  2019-09-17 06:00:00  2019-11-04 10:00:00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AN  2019-09-17 06:00:00  2019-11-15 10:00:00
63  A008N4 01  A008N4 02  Order AN  2019-09-17 06:00:00  2019-11-15 10:00:00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63  A008N4 01  A008N4 02  Order EF  2019-09-24 06:00:00  2019-11-22 10:00:00
</t>
        </r>
      </text>
    </comment>
  </commentList>
</comments>
</file>

<file path=xl/sharedStrings.xml><?xml version="1.0" encoding="utf-8"?>
<sst xmlns="http://schemas.openxmlformats.org/spreadsheetml/2006/main" count="233" uniqueCount="81">
  <si>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</si>
  <si>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</si>
  <si>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</si>
  <si>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</si>
  <si>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</si>
  <si>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</si>
  <si>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</si>
  <si>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</si>
  <si>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</si>
  <si>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</si>
  <si>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</si>
  <si>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</si>
  <si>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</si>
  <si>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</si>
  <si>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</si>
  <si>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</si>
  <si>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</si>
  <si>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</si>
  <si>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A004HP  01</t>
  </si>
  <si>
    <t>VENDOR / SELLER:     A004HP  01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</si>
  <si>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</si>
  <si>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</si>
  <si>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</si>
  <si>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</si>
  <si>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SUPPLIER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</si>
  <si>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</si>
  <si>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</si>
  <si>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</si>
  <si>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</si>
  <si>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</si>
  <si>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</si>
  <si>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</si>
  <si>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</si>
  <si>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</si>
  <si>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</si>
  <si>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</si>
  <si>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</si>
  <si>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</si>
  <si>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</si>
  <si>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</si>
  <si>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</si>
  <si>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</si>
  <si>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</si>
  <si>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</si>
  <si>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</si>
  <si>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</si>
  <si>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</si>
  <si>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</si>
  <si>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AMFU3158251</t>
  </si>
  <si>
    <t>shipped 01AU</t>
  </si>
  <si>
    <t>MSKU6112425</t>
  </si>
  <si>
    <t>16SE</t>
  </si>
  <si>
    <t>16.SE</t>
  </si>
  <si>
    <t>pickup15au</t>
  </si>
  <si>
    <t>02.SE</t>
  </si>
  <si>
    <t>delivered</t>
  </si>
  <si>
    <t>10.SE.19</t>
  </si>
  <si>
    <t>15.AU</t>
  </si>
  <si>
    <t>MRKU8140851</t>
  </si>
  <si>
    <t>SUDU7325096</t>
  </si>
  <si>
    <t>SUDU5417510</t>
  </si>
  <si>
    <t>30SE</t>
  </si>
  <si>
    <t>23SE</t>
  </si>
  <si>
    <t>29AU</t>
  </si>
  <si>
    <t>MRKU0876023</t>
  </si>
  <si>
    <t>07.OC</t>
  </si>
  <si>
    <t>PONU0633365</t>
  </si>
  <si>
    <t>collection 05SE</t>
  </si>
  <si>
    <t>MRKU7187704</t>
  </si>
  <si>
    <t>21.OC</t>
  </si>
  <si>
    <t>08.OC</t>
  </si>
  <si>
    <t>MRKU9762818</t>
  </si>
  <si>
    <t>04NO</t>
  </si>
  <si>
    <t>MRKU9680860</t>
  </si>
  <si>
    <t>04.NO</t>
  </si>
  <si>
    <r>
      <t> </t>
    </r>
    <r>
      <rPr>
        <sz val="8"/>
        <color rgb="FF000000"/>
        <rFont val="Segoe UI"/>
        <family val="2"/>
      </rPr>
      <t>MRKU9680860</t>
    </r>
  </si>
  <si>
    <t>11NO</t>
  </si>
  <si>
    <t>Weekly Coverage on Corail, new rep: 2019-10-01 14:03:29</t>
  </si>
  <si>
    <t>Weekly Coverage on Corail, new rep: 2019-10-01 15:04:13</t>
  </si>
  <si>
    <t>Weekly Coverage on Corail, new rep: 2019-10-01 15:20:08</t>
  </si>
  <si>
    <t>Weekly Coverage on Corail, new rep: 2019-10-01 15:35:28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</si>
</sst>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0000"/>
      <name val="Segoe UI"/>
      <family val="2"/>
    </font>
    <font>
      <sz val="11"/>
      <color rgb="FF9C0006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6" fillId="6" borderId="0" applyNumberFormat="0" applyBorder="0" applyAlignment="0" applyProtection="0"/>
    <xf numFmtId="0" fontId="10" fillId="10" borderId="0" applyNumberFormat="0" applyBorder="0" applyAlignment="0" applyProtection="0"/>
  </cellStyleXfs>
  <cellXfs count="51">
    <xf numFmtId="0" fontId="0" fillId="0" borderId="0" xfId="0"/>
    <xf numFmtId="0" fontId="4" fillId="0" borderId="0" xfId="0" applyFont="1"/>
    <xf numFmtId="164" fontId="1" fillId="3" borderId="0" xfId="0" applyNumberFormat="1" applyFont="1" applyFill="1"/>
    <xf numFmtId="0" fontId="5" fillId="4" borderId="0" xfId="0" applyFont="1" applyFill="1"/>
    <xf numFmtId="0" fontId="6" fillId="6" borderId="0" xfId="1"/>
    <xf numFmtId="0" fontId="3" fillId="2" borderId="0" xfId="0" applyFont="1" applyFill="1"/>
    <xf numFmtId="0" fontId="4" fillId="7" borderId="0" xfId="0" applyFont="1" applyFill="1"/>
    <xf numFmtId="0" fontId="7" fillId="0" borderId="0" xfId="0" applyFont="1"/>
    <xf numFmtId="0" fontId="4" fillId="3" borderId="0" xfId="0" applyFont="1" applyFill="1"/>
    <xf numFmtId="0" fontId="0" fillId="8" borderId="0" xfId="0" applyFill="1"/>
    <xf numFmtId="0" fontId="0" fillId="5" borderId="4" xfId="0" applyFill="1" applyBorder="1"/>
    <xf numFmtId="0" fontId="6" fillId="6" borderId="5" xfId="1" applyBorder="1"/>
    <xf numFmtId="0" fontId="6" fillId="6" borderId="6" xfId="1" applyBorder="1"/>
    <xf numFmtId="0" fontId="0" fillId="0" borderId="5" xfId="0" applyBorder="1"/>
    <xf numFmtId="0" fontId="0" fillId="0" borderId="5" xfId="0" quotePrefix="1" applyBorder="1"/>
    <xf numFmtId="0" fontId="0" fillId="0" borderId="6" xfId="0" applyBorder="1"/>
    <xf numFmtId="0" fontId="0" fillId="0" borderId="6" xfId="0" quotePrefix="1" applyBorder="1"/>
    <xf numFmtId="0" fontId="6" fillId="6" borderId="7" xfId="1" applyBorder="1"/>
    <xf numFmtId="0" fontId="0" fillId="0" borderId="9" xfId="0" applyBorder="1"/>
    <xf numFmtId="0" fontId="0" fillId="0" borderId="10" xfId="0" applyBorder="1"/>
    <xf numFmtId="0" fontId="6" fillId="6" borderId="11" xfId="1" applyBorder="1"/>
    <xf numFmtId="0" fontId="0" fillId="0" borderId="12" xfId="0" applyBorder="1"/>
    <xf numFmtId="0" fontId="7" fillId="9" borderId="4" xfId="0" applyFont="1" applyFill="1" applyBorder="1"/>
    <xf numFmtId="0" fontId="0" fillId="9" borderId="4" xfId="0" applyFill="1" applyBorder="1"/>
    <xf numFmtId="0" fontId="8" fillId="9" borderId="4" xfId="0" applyFont="1" applyFill="1" applyBorder="1"/>
    <xf numFmtId="0" fontId="6" fillId="6" borderId="5" xfId="1" quotePrefix="1" applyBorder="1"/>
    <xf numFmtId="0" fontId="6" fillId="6" borderId="6" xfId="1" quotePrefix="1" applyBorder="1"/>
    <xf numFmtId="0" fontId="6" fillId="6" borderId="8" xfId="1" applyBorder="1"/>
    <xf numFmtId="0" fontId="6" fillId="6" borderId="13" xfId="1" applyBorder="1"/>
    <xf numFmtId="0" fontId="6" fillId="6" borderId="14" xfId="1" applyBorder="1"/>
    <xf numFmtId="0" fontId="0" fillId="0" borderId="13" xfId="0" applyBorder="1"/>
    <xf numFmtId="0" fontId="0" fillId="0" borderId="14" xfId="0" applyBorder="1"/>
    <xf numFmtId="0" fontId="6" fillId="6" borderId="15" xfId="1" applyBorder="1"/>
    <xf numFmtId="0" fontId="6" fillId="6" borderId="16" xfId="1" applyBorder="1"/>
    <xf numFmtId="0" fontId="0" fillId="0" borderId="16" xfId="0" applyBorder="1"/>
    <xf numFmtId="0" fontId="7" fillId="0" borderId="15" xfId="0" applyFont="1" applyBorder="1"/>
    <xf numFmtId="0" fontId="9" fillId="0" borderId="0" xfId="0" applyFont="1" applyAlignment="1">
      <alignment vertical="center"/>
    </xf>
    <xf numFmtId="0" fontId="7" fillId="0" borderId="17" xfId="0" applyFont="1" applyBorder="1"/>
    <xf numFmtId="0" fontId="0" fillId="0" borderId="18" xfId="0" applyBorder="1"/>
    <xf numFmtId="0" fontId="6" fillId="6" borderId="12" xfId="1" applyBorder="1"/>
    <xf numFmtId="0" fontId="6" fillId="6" borderId="9" xfId="1" applyBorder="1"/>
    <xf numFmtId="0" fontId="6" fillId="6" borderId="10" xfId="1" applyBorder="1"/>
    <xf numFmtId="0" fontId="10" fillId="10" borderId="12" xfId="2" applyBorder="1"/>
    <xf numFmtId="0" fontId="10" fillId="10" borderId="9" xfId="2" applyBorder="1"/>
    <xf numFmtId="0" fontId="10" fillId="10" borderId="10" xfId="2" applyBorder="1"/>
    <xf numFmtId="0" fontId="6" fillId="6" borderId="0" xfId="1" applyAlignment="1">
      <alignment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R34"/>
  <sheetViews>
    <sheetView workbookViewId="0">
      <selection activeCell="B6" sqref="B6"/>
    </sheetView>
  </sheetViews>
  <sheetFormatPr defaultRowHeight="15" x14ac:dyDescent="0.25"/>
  <cols>
    <col min="2" max="2" width="19.28515625" customWidth="1"/>
    <col min="3" max="3" width="9.7109375" bestFit="1" customWidth="1"/>
    <col min="7" max="7" width="7.85546875" bestFit="1" customWidth="1"/>
    <col min="8" max="8" width="13.42578125" bestFit="1" customWidth="1"/>
    <col min="9" max="9" width="11" bestFit="1" customWidth="1"/>
    <col min="10" max="10" width="10.42578125" bestFit="1" customWidth="1"/>
    <col min="11" max="11" width="8.7109375" bestFit="1" customWidth="1"/>
    <col min="12" max="12" width="11.28515625" bestFit="1" customWidth="1"/>
    <col min="13" max="13" width="8.140625" bestFit="1" customWidth="1"/>
    <col min="14" max="14" width="14.42578125" bestFit="1" customWidth="1"/>
    <col min="15" max="15" width="11" bestFit="1" customWidth="1"/>
    <col min="18" max="18" width="11.28515625" bestFit="1" customWidth="1"/>
  </cols>
  <sheetData>
    <row r="1" spans="1:18" x14ac:dyDescent="0.25">
      <c r="A1" s="3" t="s">
        <v>0</v>
      </c>
      <c r="B1" s="3" t="s">
        <v>1</v>
      </c>
      <c r="C1" s="3" t="s">
        <v>2</v>
      </c>
      <c r="H1" s="4" t="s">
        <v>55</v>
      </c>
    </row>
    <row r="2" spans="1:18" ht="15.75" thickBot="1" x14ac:dyDescent="0.3">
      <c r="A2" t="s">
        <v>14</v>
      </c>
      <c r="B2">
        <v>9811933980</v>
      </c>
      <c r="G2" s="22" t="s">
        <v>24</v>
      </c>
      <c r="H2" s="23" t="s">
        <v>25</v>
      </c>
      <c r="I2" s="23" t="s">
        <v>26</v>
      </c>
      <c r="J2" s="23" t="s">
        <v>27</v>
      </c>
      <c r="K2" s="10" t="s">
        <v>28</v>
      </c>
      <c r="L2" s="24" t="s">
        <v>29</v>
      </c>
      <c r="M2" s="22" t="s">
        <v>24</v>
      </c>
      <c r="N2" s="23" t="s">
        <v>25</v>
      </c>
      <c r="O2" s="23" t="s">
        <v>26</v>
      </c>
      <c r="P2" s="23" t="s">
        <v>27</v>
      </c>
      <c r="Q2" s="10" t="s">
        <v>28</v>
      </c>
      <c r="R2" s="24" t="s">
        <v>29</v>
      </c>
    </row>
    <row r="3" spans="1:18" ht="15.75" thickBot="1" x14ac:dyDescent="0.3">
      <c r="G3" s="46" t="s">
        <v>30</v>
      </c>
      <c r="H3" s="28" t="s">
        <v>31</v>
      </c>
      <c r="I3" s="11">
        <v>9811933980</v>
      </c>
      <c r="J3" s="11">
        <v>189</v>
      </c>
      <c r="K3" s="11" t="s">
        <v>32</v>
      </c>
      <c r="L3" s="32"/>
      <c r="M3" s="46" t="s">
        <v>40</v>
      </c>
      <c r="N3" s="20" t="s">
        <v>41</v>
      </c>
      <c r="O3" s="17">
        <v>9819671280</v>
      </c>
      <c r="P3" s="17">
        <v>60</v>
      </c>
      <c r="Q3" s="17" t="s">
        <v>42</v>
      </c>
      <c r="R3" s="27"/>
    </row>
    <row r="4" spans="1:18" ht="15.75" thickBot="1" x14ac:dyDescent="0.3">
      <c r="G4" s="47"/>
      <c r="H4" s="29"/>
      <c r="I4" s="12">
        <v>9811934080</v>
      </c>
      <c r="J4" s="12">
        <v>189</v>
      </c>
      <c r="K4" s="12" t="s">
        <v>32</v>
      </c>
      <c r="L4" s="33"/>
      <c r="M4" s="47"/>
      <c r="N4" s="20" t="s">
        <v>43</v>
      </c>
      <c r="O4" s="17">
        <v>9819671280</v>
      </c>
      <c r="P4" s="17">
        <v>60</v>
      </c>
      <c r="Q4" s="17" t="s">
        <v>32</v>
      </c>
      <c r="R4" s="27"/>
    </row>
    <row r="5" spans="1:18" ht="15.75" thickBot="1" x14ac:dyDescent="0.3">
      <c r="G5" s="47"/>
      <c r="H5" s="28" t="s">
        <v>33</v>
      </c>
      <c r="I5" s="11">
        <v>9811933980</v>
      </c>
      <c r="J5" s="11">
        <v>189</v>
      </c>
      <c r="K5" s="25" t="s">
        <v>34</v>
      </c>
      <c r="L5" s="32" t="s">
        <v>35</v>
      </c>
      <c r="M5" s="47"/>
      <c r="N5" s="39" t="s">
        <v>47</v>
      </c>
      <c r="O5" s="40">
        <v>9819671280</v>
      </c>
      <c r="P5" s="40">
        <v>540</v>
      </c>
      <c r="Q5" s="40" t="s">
        <v>63</v>
      </c>
      <c r="R5" s="41" t="s">
        <v>44</v>
      </c>
    </row>
    <row r="6" spans="1:18" ht="15.75" thickBot="1" x14ac:dyDescent="0.3">
      <c r="G6" s="47"/>
      <c r="H6" s="29"/>
      <c r="I6" s="12">
        <v>9811934080</v>
      </c>
      <c r="J6" s="12">
        <v>189</v>
      </c>
      <c r="K6" s="26" t="s">
        <v>34</v>
      </c>
      <c r="L6" s="33" t="s">
        <v>35</v>
      </c>
      <c r="M6" s="47"/>
      <c r="N6" s="39" t="s">
        <v>50</v>
      </c>
      <c r="O6" s="40">
        <v>9819671280</v>
      </c>
      <c r="P6" s="40">
        <v>600</v>
      </c>
      <c r="Q6" s="40"/>
      <c r="R6" s="41" t="s">
        <v>51</v>
      </c>
    </row>
    <row r="7" spans="1:18" ht="15.75" thickBot="1" x14ac:dyDescent="0.3">
      <c r="G7" s="47"/>
      <c r="H7" s="28" t="s">
        <v>36</v>
      </c>
      <c r="I7" s="11">
        <v>9811933980</v>
      </c>
      <c r="J7" s="11">
        <v>189</v>
      </c>
      <c r="K7" s="25" t="s">
        <v>37</v>
      </c>
      <c r="L7" s="32" t="s">
        <v>34</v>
      </c>
      <c r="M7" s="47"/>
      <c r="N7" s="31" t="s">
        <v>60</v>
      </c>
      <c r="O7" s="18">
        <v>9819671280</v>
      </c>
      <c r="P7" s="18">
        <v>300</v>
      </c>
      <c r="Q7" s="18" t="s">
        <v>61</v>
      </c>
      <c r="R7" s="19" t="s">
        <v>53</v>
      </c>
    </row>
    <row r="8" spans="1:18" ht="15.75" thickBot="1" x14ac:dyDescent="0.3">
      <c r="G8" s="47"/>
      <c r="H8" s="29"/>
      <c r="I8" s="12">
        <v>9811934080</v>
      </c>
      <c r="J8" s="12">
        <v>189</v>
      </c>
      <c r="K8" s="26" t="s">
        <v>37</v>
      </c>
      <c r="L8" s="33" t="s">
        <v>34</v>
      </c>
      <c r="M8" s="47"/>
      <c r="N8" s="42" t="s">
        <v>64</v>
      </c>
      <c r="O8" s="43">
        <v>9819671280</v>
      </c>
      <c r="P8" s="43">
        <v>480</v>
      </c>
      <c r="Q8" s="43"/>
      <c r="R8" s="44" t="s">
        <v>70</v>
      </c>
    </row>
    <row r="9" spans="1:18" ht="15.75" thickBot="1" x14ac:dyDescent="0.3">
      <c r="A9" t="s">
        <v>14</v>
      </c>
      <c r="B9">
        <v>9819671280</v>
      </c>
      <c r="G9" s="47"/>
      <c r="H9" s="28" t="s">
        <v>38</v>
      </c>
      <c r="I9" s="11">
        <v>9811933980</v>
      </c>
      <c r="J9" s="11">
        <v>315</v>
      </c>
      <c r="K9" s="25" t="s">
        <v>57</v>
      </c>
      <c r="L9" s="32" t="s">
        <v>45</v>
      </c>
      <c r="M9" s="47"/>
      <c r="N9" s="21" t="s">
        <v>71</v>
      </c>
      <c r="O9" s="18">
        <v>9819671280</v>
      </c>
      <c r="P9" s="18">
        <v>60</v>
      </c>
      <c r="Q9" s="18"/>
      <c r="R9" s="19" t="s">
        <v>72</v>
      </c>
    </row>
    <row r="10" spans="1:18" ht="15.75" thickBot="1" x14ac:dyDescent="0.3">
      <c r="G10" s="47"/>
      <c r="H10" s="29"/>
      <c r="I10" s="12">
        <v>9811934080</v>
      </c>
      <c r="J10" s="12">
        <v>315</v>
      </c>
      <c r="K10" s="25" t="s">
        <v>57</v>
      </c>
      <c r="L10" s="33" t="s">
        <v>45</v>
      </c>
      <c r="M10" s="47"/>
      <c r="N10" s="21" t="s">
        <v>71</v>
      </c>
      <c r="O10" s="18">
        <v>9819671280</v>
      </c>
      <c r="P10" s="18">
        <v>360</v>
      </c>
      <c r="Q10" s="18"/>
      <c r="R10" s="19" t="s">
        <v>72</v>
      </c>
    </row>
    <row r="11" spans="1:18" ht="15.75" thickBot="1" x14ac:dyDescent="0.3">
      <c r="A11" t="s">
        <v>14</v>
      </c>
      <c r="B11">
        <v>9811934080</v>
      </c>
      <c r="G11" s="47"/>
      <c r="H11" s="28" t="s">
        <v>46</v>
      </c>
      <c r="I11" s="11">
        <v>9811933980</v>
      </c>
      <c r="J11" s="11">
        <v>882</v>
      </c>
      <c r="K11" s="25" t="s">
        <v>54</v>
      </c>
      <c r="L11" s="32" t="s">
        <v>39</v>
      </c>
      <c r="M11" s="47"/>
      <c r="N11" s="36" t="s">
        <v>73</v>
      </c>
      <c r="O11" s="18">
        <v>9819671280</v>
      </c>
      <c r="P11" s="18">
        <v>360</v>
      </c>
      <c r="Q11" s="18"/>
      <c r="R11" s="19"/>
    </row>
    <row r="12" spans="1:18" ht="15.75" thickBot="1" x14ac:dyDescent="0.3">
      <c r="G12" s="47"/>
      <c r="H12" s="29"/>
      <c r="I12" s="12">
        <v>9811934080</v>
      </c>
      <c r="J12" s="11">
        <v>882</v>
      </c>
      <c r="K12" s="26" t="s">
        <v>54</v>
      </c>
      <c r="L12" s="33" t="s">
        <v>39</v>
      </c>
      <c r="M12" s="49"/>
      <c r="N12" s="21"/>
      <c r="O12" s="18"/>
      <c r="P12" s="18"/>
      <c r="Q12" s="18"/>
      <c r="R12" s="19"/>
    </row>
    <row r="13" spans="1:18" ht="15.75" thickBot="1" x14ac:dyDescent="0.3">
      <c r="G13" s="47"/>
      <c r="H13" s="28" t="s">
        <v>48</v>
      </c>
      <c r="I13" s="11">
        <v>9811933980</v>
      </c>
      <c r="J13" s="11">
        <v>126</v>
      </c>
      <c r="K13" s="25" t="s">
        <v>56</v>
      </c>
      <c r="L13" s="32"/>
      <c r="M13" s="47"/>
      <c r="N13" s="21"/>
      <c r="O13" s="18"/>
      <c r="P13" s="18"/>
      <c r="Q13" s="18"/>
      <c r="R13" s="19"/>
    </row>
    <row r="14" spans="1:18" ht="15.75" thickBot="1" x14ac:dyDescent="0.3">
      <c r="G14" s="47"/>
      <c r="H14" s="29"/>
      <c r="I14" s="12">
        <v>9811934080</v>
      </c>
      <c r="J14" s="12">
        <v>126</v>
      </c>
      <c r="K14" s="26" t="s">
        <v>56</v>
      </c>
      <c r="L14" s="33"/>
      <c r="M14" s="47"/>
      <c r="N14" s="21"/>
      <c r="O14" s="18"/>
      <c r="P14" s="18"/>
      <c r="Q14" s="18"/>
      <c r="R14" s="19"/>
    </row>
    <row r="15" spans="1:18" ht="15.75" thickBot="1" x14ac:dyDescent="0.3">
      <c r="G15" s="47"/>
      <c r="H15" s="28" t="s">
        <v>50</v>
      </c>
      <c r="I15" s="11">
        <v>9811933980</v>
      </c>
      <c r="J15" s="11">
        <v>945</v>
      </c>
      <c r="K15" s="25" t="s">
        <v>52</v>
      </c>
      <c r="L15" s="32" t="s">
        <v>49</v>
      </c>
      <c r="M15" s="47"/>
      <c r="N15" s="21"/>
      <c r="O15" s="18"/>
      <c r="P15" s="18"/>
      <c r="Q15" s="18"/>
      <c r="R15" s="19"/>
    </row>
    <row r="16" spans="1:18" ht="15.75" thickBot="1" x14ac:dyDescent="0.3">
      <c r="G16" s="47"/>
      <c r="H16" s="29"/>
      <c r="I16" s="12">
        <v>9811934080</v>
      </c>
      <c r="J16" s="12">
        <v>945</v>
      </c>
      <c r="K16" s="26"/>
      <c r="L16" s="33"/>
      <c r="M16" s="47"/>
      <c r="N16" s="21"/>
      <c r="O16" s="18"/>
      <c r="P16" s="18"/>
      <c r="Q16" s="18"/>
      <c r="R16" s="19"/>
    </row>
    <row r="17" spans="7:18" ht="15.75" thickBot="1" x14ac:dyDescent="0.3">
      <c r="G17" s="47"/>
      <c r="H17" s="45" t="s">
        <v>58</v>
      </c>
      <c r="I17" s="11">
        <v>9811933980</v>
      </c>
      <c r="J17" s="11">
        <v>882</v>
      </c>
      <c r="K17" s="25"/>
      <c r="L17" s="32" t="s">
        <v>62</v>
      </c>
      <c r="M17" s="47"/>
      <c r="N17" s="21"/>
      <c r="O17" s="18"/>
      <c r="P17" s="18"/>
      <c r="Q17" s="18"/>
      <c r="R17" s="19"/>
    </row>
    <row r="18" spans="7:18" ht="15.75" thickBot="1" x14ac:dyDescent="0.3">
      <c r="G18" s="47"/>
      <c r="H18" s="29"/>
      <c r="I18" s="12">
        <v>9811934080</v>
      </c>
      <c r="J18" s="12">
        <v>882</v>
      </c>
      <c r="K18" s="26"/>
      <c r="L18" s="33"/>
      <c r="M18" s="47"/>
      <c r="N18" s="21"/>
      <c r="O18" s="18"/>
      <c r="P18" s="18"/>
      <c r="Q18" s="18"/>
      <c r="R18" s="19"/>
    </row>
    <row r="19" spans="7:18" ht="15.75" thickBot="1" x14ac:dyDescent="0.3">
      <c r="G19" s="47"/>
      <c r="H19" s="31" t="s">
        <v>60</v>
      </c>
      <c r="I19" s="13">
        <v>9811933980</v>
      </c>
      <c r="J19" s="13">
        <v>189</v>
      </c>
      <c r="K19" s="14"/>
      <c r="L19" s="35" t="s">
        <v>61</v>
      </c>
      <c r="M19" s="47"/>
      <c r="N19" s="21"/>
      <c r="O19" s="18"/>
      <c r="P19" s="18"/>
      <c r="Q19" s="18"/>
      <c r="R19" s="19"/>
    </row>
    <row r="20" spans="7:18" ht="15.75" thickBot="1" x14ac:dyDescent="0.3">
      <c r="G20" s="47"/>
      <c r="H20" s="31" t="s">
        <v>60</v>
      </c>
      <c r="I20" s="15">
        <v>9811934080</v>
      </c>
      <c r="J20" s="15">
        <v>189</v>
      </c>
      <c r="K20" s="16"/>
      <c r="L20" s="35" t="s">
        <v>61</v>
      </c>
      <c r="M20" s="47"/>
      <c r="N20" s="21"/>
      <c r="O20" s="18"/>
      <c r="P20" s="18"/>
      <c r="Q20" s="18"/>
      <c r="R20" s="19"/>
    </row>
    <row r="21" spans="7:18" ht="15.75" thickBot="1" x14ac:dyDescent="0.3">
      <c r="G21" s="47"/>
      <c r="H21" s="30" t="s">
        <v>59</v>
      </c>
      <c r="I21" s="13">
        <v>9811933980</v>
      </c>
      <c r="J21" s="13">
        <v>1827</v>
      </c>
      <c r="K21" s="14"/>
      <c r="L21" s="35" t="s">
        <v>61</v>
      </c>
      <c r="M21" s="47"/>
      <c r="N21" s="21"/>
      <c r="O21" s="18"/>
      <c r="P21" s="18"/>
      <c r="Q21" s="18"/>
      <c r="R21" s="19"/>
    </row>
    <row r="22" spans="7:18" ht="15.75" thickBot="1" x14ac:dyDescent="0.3">
      <c r="G22" s="47"/>
      <c r="H22" s="31" t="s">
        <v>60</v>
      </c>
      <c r="I22" s="15">
        <v>9811934080</v>
      </c>
      <c r="J22" s="15">
        <v>1827</v>
      </c>
      <c r="K22" s="16"/>
      <c r="L22" s="35" t="s">
        <v>61</v>
      </c>
      <c r="M22" s="47"/>
      <c r="N22" s="21"/>
      <c r="O22" s="18"/>
      <c r="P22" s="18"/>
      <c r="Q22" s="18"/>
      <c r="R22" s="19"/>
    </row>
    <row r="23" spans="7:18" ht="15.75" thickBot="1" x14ac:dyDescent="0.3">
      <c r="G23" s="47"/>
      <c r="H23" s="30" t="s">
        <v>64</v>
      </c>
      <c r="I23" s="13">
        <v>9811933980</v>
      </c>
      <c r="J23" s="13">
        <v>1575</v>
      </c>
      <c r="K23" s="14"/>
      <c r="L23" s="34" t="s">
        <v>70</v>
      </c>
      <c r="M23" s="47"/>
      <c r="N23" s="21"/>
      <c r="O23" s="18"/>
      <c r="P23" s="18"/>
      <c r="Q23" s="18"/>
      <c r="R23" s="19"/>
    </row>
    <row r="24" spans="7:18" ht="15.75" thickBot="1" x14ac:dyDescent="0.3">
      <c r="G24" s="47"/>
      <c r="H24" s="36" t="s">
        <v>66</v>
      </c>
      <c r="I24" s="15">
        <v>9811934080</v>
      </c>
      <c r="J24" s="15">
        <v>1575</v>
      </c>
      <c r="K24" s="16"/>
      <c r="L24" s="34" t="s">
        <v>65</v>
      </c>
      <c r="M24" s="47"/>
      <c r="N24" s="21"/>
      <c r="O24" s="18"/>
      <c r="P24" s="18"/>
      <c r="Q24" s="18"/>
      <c r="R24" s="19"/>
    </row>
    <row r="25" spans="7:18" ht="15.75" thickBot="1" x14ac:dyDescent="0.3">
      <c r="G25" s="47"/>
      <c r="H25" s="30" t="s">
        <v>68</v>
      </c>
      <c r="I25" s="13">
        <v>9811933980</v>
      </c>
      <c r="J25" s="13">
        <v>504</v>
      </c>
      <c r="K25" s="14"/>
      <c r="L25" s="37" t="s">
        <v>67</v>
      </c>
      <c r="M25" s="47"/>
      <c r="N25" s="21"/>
      <c r="O25" s="18"/>
      <c r="P25" s="18"/>
      <c r="Q25" s="18"/>
      <c r="R25" s="19"/>
    </row>
    <row r="26" spans="7:18" ht="15.75" thickBot="1" x14ac:dyDescent="0.3">
      <c r="G26" s="47"/>
      <c r="H26" s="30" t="s">
        <v>68</v>
      </c>
      <c r="I26" s="15">
        <v>9811934080</v>
      </c>
      <c r="J26" s="15">
        <v>504</v>
      </c>
      <c r="K26" s="16"/>
      <c r="L26" s="38" t="s">
        <v>69</v>
      </c>
      <c r="M26" s="47"/>
      <c r="N26" s="21"/>
      <c r="O26" s="18"/>
      <c r="P26" s="18"/>
      <c r="Q26" s="18"/>
      <c r="R26" s="19"/>
    </row>
    <row r="27" spans="7:18" ht="15.75" thickBot="1" x14ac:dyDescent="0.3">
      <c r="G27" s="47"/>
      <c r="H27" s="30" t="s">
        <v>71</v>
      </c>
      <c r="I27" s="13">
        <v>9811933980</v>
      </c>
      <c r="J27" s="13">
        <v>756</v>
      </c>
      <c r="K27" s="14"/>
      <c r="L27" s="35" t="s">
        <v>74</v>
      </c>
      <c r="M27" s="47"/>
      <c r="N27" s="21"/>
      <c r="O27" s="18"/>
      <c r="P27" s="18"/>
      <c r="Q27" s="18"/>
      <c r="R27" s="19"/>
    </row>
    <row r="28" spans="7:18" ht="15.75" thickBot="1" x14ac:dyDescent="0.3">
      <c r="G28" s="47"/>
      <c r="H28" s="31" t="s">
        <v>71</v>
      </c>
      <c r="I28" s="15">
        <v>9811934080</v>
      </c>
      <c r="J28" s="15">
        <v>693</v>
      </c>
      <c r="K28" s="16"/>
      <c r="L28" s="35"/>
      <c r="M28" s="47"/>
      <c r="N28" s="21"/>
      <c r="O28" s="18"/>
      <c r="P28" s="18"/>
      <c r="Q28" s="18"/>
      <c r="R28" s="19"/>
    </row>
    <row r="29" spans="7:18" ht="15.75" thickBot="1" x14ac:dyDescent="0.3">
      <c r="G29" s="47"/>
      <c r="H29" s="30" t="s">
        <v>75</v>
      </c>
      <c r="I29" s="13">
        <v>9811933980</v>
      </c>
      <c r="J29" s="13">
        <v>504</v>
      </c>
      <c r="K29" s="14"/>
      <c r="L29" s="35" t="s">
        <v>76</v>
      </c>
      <c r="M29" s="47"/>
      <c r="N29" s="21"/>
      <c r="O29" s="18"/>
      <c r="P29" s="18"/>
      <c r="Q29" s="18"/>
      <c r="R29" s="19"/>
    </row>
    <row r="30" spans="7:18" ht="15.75" thickBot="1" x14ac:dyDescent="0.3">
      <c r="G30" s="47"/>
      <c r="H30" s="31" t="s">
        <v>75</v>
      </c>
      <c r="I30" s="15">
        <v>9811934080</v>
      </c>
      <c r="J30" s="15">
        <v>630</v>
      </c>
      <c r="K30" s="16"/>
      <c r="L30" s="35"/>
      <c r="M30" s="47"/>
      <c r="N30" s="21"/>
      <c r="O30" s="18"/>
      <c r="P30" s="18"/>
      <c r="Q30" s="18"/>
      <c r="R30" s="19"/>
    </row>
    <row r="31" spans="7:18" ht="15.75" thickBot="1" x14ac:dyDescent="0.3">
      <c r="G31" s="47"/>
      <c r="H31" s="30"/>
      <c r="I31" s="13"/>
      <c r="J31" s="13"/>
      <c r="K31" s="14"/>
      <c r="L31" s="37"/>
      <c r="M31" s="47"/>
      <c r="N31" s="21"/>
      <c r="O31" s="18"/>
      <c r="P31" s="18"/>
      <c r="Q31" s="18"/>
      <c r="R31" s="19"/>
    </row>
    <row r="32" spans="7:18" ht="15.75" thickBot="1" x14ac:dyDescent="0.3">
      <c r="G32" s="47"/>
      <c r="H32" s="31"/>
      <c r="I32" s="15"/>
      <c r="J32" s="15"/>
      <c r="K32" s="16"/>
      <c r="L32" s="38"/>
      <c r="M32" s="47"/>
      <c r="N32" s="21"/>
      <c r="O32" s="18"/>
      <c r="P32" s="18"/>
      <c r="Q32" s="18"/>
      <c r="R32" s="19"/>
    </row>
    <row r="33" spans="7:18" ht="15.75" thickBot="1" x14ac:dyDescent="0.3">
      <c r="G33" s="47"/>
      <c r="H33" s="30"/>
      <c r="I33" s="13"/>
      <c r="J33" s="13"/>
      <c r="K33" s="14"/>
      <c r="L33" s="37"/>
      <c r="M33" s="47"/>
      <c r="N33" s="21"/>
      <c r="O33" s="18"/>
      <c r="P33" s="18"/>
      <c r="Q33" s="18"/>
      <c r="R33" s="19"/>
    </row>
    <row r="34" spans="7:18" ht="15.75" thickBot="1" x14ac:dyDescent="0.3">
      <c r="G34" s="48"/>
      <c r="H34" s="31"/>
      <c r="I34" s="15"/>
      <c r="J34" s="15"/>
      <c r="K34" s="16"/>
      <c r="L34" s="38"/>
      <c r="M34" s="48"/>
      <c r="N34" s="21"/>
      <c r="O34" s="18"/>
      <c r="P34" s="18"/>
      <c r="Q34" s="18"/>
      <c r="R34" s="19"/>
    </row>
  </sheetData>
  <mergeCells count="2">
    <mergeCell ref="G3:G34"/>
    <mergeCell ref="M3:M3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C21"/>
  <sheetViews>
    <sheetView showGridLines="0" topLeftCell="A7" workbookViewId="0">
      <selection activeCell="B11" sqref="B1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77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40</v>
      </c>
      <c r="K2" s="5">
        <v>41</v>
      </c>
      <c r="L2" s="5">
        <v>42</v>
      </c>
      <c r="M2" s="5">
        <v>43</v>
      </c>
      <c r="N2" s="5">
        <v>44</v>
      </c>
      <c r="O2" s="5">
        <v>45</v>
      </c>
      <c r="P2" s="5">
        <v>46</v>
      </c>
      <c r="Q2" s="5">
        <v>47</v>
      </c>
      <c r="R2" s="5">
        <v>48</v>
      </c>
      <c r="S2" s="5">
        <v>49</v>
      </c>
      <c r="T2" s="5">
        <v>50</v>
      </c>
      <c r="U2" s="5">
        <v>51</v>
      </c>
      <c r="V2" s="5">
        <v>52</v>
      </c>
      <c r="W2" s="5">
        <v>1</v>
      </c>
      <c r="X2" s="5">
        <v>2</v>
      </c>
      <c r="Y2" s="5">
        <v>3</v>
      </c>
      <c r="Z2" s="5">
        <v>4</v>
      </c>
      <c r="AA2" s="5">
        <v>5</v>
      </c>
      <c r="AB2" s="5">
        <v>6</v>
      </c>
      <c r="AC2" s="5">
        <v>7</v>
      </c>
    </row>
    <row r="3" spans="1:29" x14ac:dyDescent="0.25">
      <c r="A3" s="50" t="s">
        <v>14</v>
      </c>
      <c r="B3" s="8" t="s">
        <v>22</v>
      </c>
      <c r="C3" s="5" t="s">
        <v>17</v>
      </c>
      <c r="E3" t="s">
        <v>10</v>
      </c>
      <c r="F3">
        <f>F4+F5</f>
        <v>740</v>
      </c>
      <c r="G3" s="5">
        <f>calcFirstRunOut(J7:AC7)</f>
        <v>201946</v>
      </c>
      <c r="H3" s="5" t="s">
        <v>5</v>
      </c>
      <c r="J3" s="6">
        <v>69</v>
      </c>
      <c r="K3" s="6">
        <v>204</v>
      </c>
      <c r="L3" s="6">
        <v>37</v>
      </c>
      <c r="M3" s="6">
        <v>149</v>
      </c>
      <c r="N3" s="6">
        <v>90</v>
      </c>
      <c r="O3" s="6">
        <v>147</v>
      </c>
      <c r="P3" s="6">
        <v>172</v>
      </c>
      <c r="Q3" s="6">
        <v>210</v>
      </c>
      <c r="R3" s="6">
        <v>227</v>
      </c>
      <c r="S3" s="6">
        <v>178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50"/>
      <c r="B4" s="1">
        <v>9819671280</v>
      </c>
      <c r="C4" s="5" t="s">
        <v>17</v>
      </c>
      <c r="E4" t="s">
        <v>11</v>
      </c>
      <c r="F4">
        <v>740</v>
      </c>
      <c r="G4" s="5"/>
      <c r="H4" s="5" t="s">
        <v>6</v>
      </c>
      <c r="J4">
        <v>0</v>
      </c>
      <c r="K4">
        <v>240</v>
      </c>
      <c r="L4">
        <v>240</v>
      </c>
      <c r="M4">
        <v>60</v>
      </c>
      <c r="N4">
        <v>0</v>
      </c>
      <c r="O4">
        <v>0</v>
      </c>
      <c r="P4">
        <v>360</v>
      </c>
      <c r="Q4">
        <v>360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50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60</v>
      </c>
      <c r="O5" s="9">
        <v>0</v>
      </c>
      <c r="P5" s="9">
        <v>0</v>
      </c>
      <c r="Q5" s="9">
        <v>720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50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50"/>
      <c r="B7" s="1" t="s">
        <v>18</v>
      </c>
      <c r="C7" s="5" t="s">
        <v>17</v>
      </c>
      <c r="G7" s="5"/>
      <c r="H7" s="5" t="s">
        <v>9</v>
      </c>
      <c r="J7" s="2">
        <f>F3+I4+I5-J3+J5+J6</f>
        <v>671</v>
      </c>
      <c r="K7" s="2">
        <f t="shared" ref="K7:AC7" si="0">J7-K3+K5+K6</f>
        <v>467</v>
      </c>
      <c r="L7" s="2">
        <f t="shared" si="0"/>
        <v>430</v>
      </c>
      <c r="M7" s="2">
        <f t="shared" si="0"/>
        <v>281</v>
      </c>
      <c r="N7" s="2">
        <f t="shared" si="0"/>
        <v>251</v>
      </c>
      <c r="O7" s="2">
        <f t="shared" si="0"/>
        <v>104</v>
      </c>
      <c r="P7" s="2">
        <f t="shared" si="0"/>
        <v>-68</v>
      </c>
      <c r="Q7" s="2">
        <f t="shared" si="0"/>
        <v>442</v>
      </c>
      <c r="R7" s="2">
        <f t="shared" si="0"/>
        <v>215</v>
      </c>
      <c r="S7" s="2">
        <f t="shared" si="0"/>
        <v>37</v>
      </c>
      <c r="T7" s="2">
        <f t="shared" si="0"/>
        <v>37</v>
      </c>
      <c r="U7" s="2">
        <f t="shared" si="0"/>
        <v>37</v>
      </c>
      <c r="V7" s="2">
        <f t="shared" si="0"/>
        <v>37</v>
      </c>
      <c r="W7" s="2">
        <f t="shared" si="0"/>
        <v>37</v>
      </c>
      <c r="X7" s="2">
        <f t="shared" si="0"/>
        <v>37</v>
      </c>
      <c r="Y7" s="2">
        <f t="shared" si="0"/>
        <v>37</v>
      </c>
      <c r="Z7" s="2">
        <f t="shared" si="0"/>
        <v>37</v>
      </c>
      <c r="AA7" s="2">
        <f t="shared" si="0"/>
        <v>37</v>
      </c>
      <c r="AB7" s="2">
        <f t="shared" si="0"/>
        <v>37</v>
      </c>
      <c r="AC7" s="2">
        <f t="shared" si="0"/>
        <v>37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40</v>
      </c>
      <c r="K9" s="5">
        <v>41</v>
      </c>
      <c r="L9" s="5">
        <v>42</v>
      </c>
      <c r="M9" s="5">
        <v>43</v>
      </c>
      <c r="N9" s="5">
        <v>44</v>
      </c>
      <c r="O9" s="5">
        <v>45</v>
      </c>
      <c r="P9" s="5">
        <v>46</v>
      </c>
      <c r="Q9" s="5">
        <v>47</v>
      </c>
      <c r="R9" s="5">
        <v>48</v>
      </c>
      <c r="S9" s="5">
        <v>49</v>
      </c>
      <c r="T9" s="5">
        <v>50</v>
      </c>
      <c r="U9" s="5">
        <v>51</v>
      </c>
      <c r="V9" s="5">
        <v>52</v>
      </c>
      <c r="W9" s="5">
        <v>1</v>
      </c>
      <c r="X9" s="5">
        <v>2</v>
      </c>
      <c r="Y9" s="5">
        <v>3</v>
      </c>
      <c r="Z9" s="5">
        <v>4</v>
      </c>
      <c r="AA9" s="5">
        <v>5</v>
      </c>
      <c r="AB9" s="5">
        <v>6</v>
      </c>
      <c r="AC9" s="5">
        <v>7</v>
      </c>
    </row>
    <row r="10" spans="1:29" x14ac:dyDescent="0.25">
      <c r="A10" s="50" t="s">
        <v>14</v>
      </c>
      <c r="B10" s="8" t="s">
        <v>23</v>
      </c>
      <c r="C10" s="5" t="s">
        <v>17</v>
      </c>
      <c r="E10" t="s">
        <v>10</v>
      </c>
      <c r="F10">
        <f>F11+F12</f>
        <v>2538</v>
      </c>
      <c r="G10" s="5">
        <f>calcFirstRunOut(J14:AC14)</f>
        <v>202007</v>
      </c>
      <c r="H10" s="5" t="s">
        <v>5</v>
      </c>
      <c r="J10" s="6">
        <v>349</v>
      </c>
      <c r="K10" s="6">
        <v>638</v>
      </c>
      <c r="L10" s="6">
        <v>568</v>
      </c>
      <c r="M10" s="6">
        <v>627</v>
      </c>
      <c r="N10" s="6">
        <v>620</v>
      </c>
      <c r="O10" s="6">
        <v>719</v>
      </c>
      <c r="P10" s="6">
        <v>770</v>
      </c>
      <c r="Q10" s="6">
        <v>911</v>
      </c>
      <c r="R10" s="6">
        <v>974</v>
      </c>
      <c r="S10" s="6">
        <v>806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50"/>
      <c r="B11" s="1">
        <v>9811933980</v>
      </c>
      <c r="C11" s="5" t="s">
        <v>17</v>
      </c>
      <c r="E11" t="s">
        <v>11</v>
      </c>
      <c r="F11">
        <v>2538</v>
      </c>
      <c r="G11" s="5"/>
      <c r="H11" s="5" t="s">
        <v>6</v>
      </c>
      <c r="J11">
        <v>0</v>
      </c>
      <c r="K11">
        <v>1575</v>
      </c>
      <c r="L11">
        <v>0</v>
      </c>
      <c r="M11">
        <v>504</v>
      </c>
      <c r="N11">
        <v>0</v>
      </c>
      <c r="O11">
        <v>756</v>
      </c>
      <c r="P11">
        <v>0</v>
      </c>
      <c r="Q11">
        <v>945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50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2016</v>
      </c>
      <c r="K12" s="9">
        <v>1575</v>
      </c>
      <c r="L12">
        <v>0</v>
      </c>
      <c r="M12" s="9">
        <v>504</v>
      </c>
      <c r="N12">
        <v>0</v>
      </c>
      <c r="O12" s="9">
        <v>756</v>
      </c>
      <c r="P12">
        <v>0</v>
      </c>
      <c r="Q12" s="9">
        <v>630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50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50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4205</v>
      </c>
      <c r="K14" s="2">
        <f t="shared" ref="K14:AC14" si="1">J14-K10+K12+K13</f>
        <v>5142</v>
      </c>
      <c r="L14" s="2">
        <f t="shared" si="1"/>
        <v>4574</v>
      </c>
      <c r="M14" s="2">
        <f t="shared" si="1"/>
        <v>4451</v>
      </c>
      <c r="N14" s="2">
        <f t="shared" si="1"/>
        <v>3831</v>
      </c>
      <c r="O14" s="2">
        <f t="shared" si="1"/>
        <v>3868</v>
      </c>
      <c r="P14" s="2">
        <f t="shared" si="1"/>
        <v>3098</v>
      </c>
      <c r="Q14" s="2">
        <f t="shared" si="1"/>
        <v>2817</v>
      </c>
      <c r="R14" s="2">
        <f t="shared" si="1"/>
        <v>1843</v>
      </c>
      <c r="S14" s="2">
        <f t="shared" si="1"/>
        <v>1037</v>
      </c>
      <c r="T14" s="2">
        <f t="shared" si="1"/>
        <v>1037</v>
      </c>
      <c r="U14" s="2">
        <f t="shared" si="1"/>
        <v>1037</v>
      </c>
      <c r="V14" s="2">
        <f t="shared" si="1"/>
        <v>1037</v>
      </c>
      <c r="W14" s="2">
        <f t="shared" si="1"/>
        <v>1037</v>
      </c>
      <c r="X14" s="2">
        <f t="shared" si="1"/>
        <v>1037</v>
      </c>
      <c r="Y14" s="2">
        <f t="shared" si="1"/>
        <v>1037</v>
      </c>
      <c r="Z14" s="2">
        <f t="shared" si="1"/>
        <v>1037</v>
      </c>
      <c r="AA14" s="2">
        <f t="shared" si="1"/>
        <v>1037</v>
      </c>
      <c r="AB14" s="2">
        <f t="shared" si="1"/>
        <v>1037</v>
      </c>
      <c r="AC14" s="2">
        <f t="shared" si="1"/>
        <v>1037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40</v>
      </c>
      <c r="K16" s="5">
        <v>41</v>
      </c>
      <c r="L16" s="5">
        <v>42</v>
      </c>
      <c r="M16" s="5">
        <v>43</v>
      </c>
      <c r="N16" s="5">
        <v>44</v>
      </c>
      <c r="O16" s="5">
        <v>45</v>
      </c>
      <c r="P16" s="5">
        <v>46</v>
      </c>
      <c r="Q16" s="5">
        <v>47</v>
      </c>
      <c r="R16" s="5">
        <v>48</v>
      </c>
      <c r="S16" s="5">
        <v>49</v>
      </c>
      <c r="T16" s="5">
        <v>50</v>
      </c>
      <c r="U16" s="5">
        <v>51</v>
      </c>
      <c r="V16" s="5">
        <v>52</v>
      </c>
      <c r="W16" s="5">
        <v>1</v>
      </c>
      <c r="X16" s="5">
        <v>2</v>
      </c>
      <c r="Y16" s="5">
        <v>3</v>
      </c>
      <c r="Z16" s="5">
        <v>4</v>
      </c>
      <c r="AA16" s="5">
        <v>5</v>
      </c>
      <c r="AB16" s="5">
        <v>6</v>
      </c>
      <c r="AC16" s="5">
        <v>7</v>
      </c>
    </row>
    <row r="17" spans="1:29" x14ac:dyDescent="0.25">
      <c r="A17" s="50" t="s">
        <v>14</v>
      </c>
      <c r="B17" s="8" t="s">
        <v>23</v>
      </c>
      <c r="C17" s="5" t="s">
        <v>17</v>
      </c>
      <c r="E17" t="s">
        <v>10</v>
      </c>
      <c r="F17">
        <f>F18+F19</f>
        <v>2409</v>
      </c>
      <c r="G17" s="5">
        <f>calcFirstRunOut(J21:AC21)</f>
        <v>202007</v>
      </c>
      <c r="H17" s="5" t="s">
        <v>5</v>
      </c>
      <c r="J17" s="6">
        <v>349</v>
      </c>
      <c r="K17" s="6">
        <v>638</v>
      </c>
      <c r="L17" s="6">
        <v>568</v>
      </c>
      <c r="M17" s="6">
        <v>627</v>
      </c>
      <c r="N17" s="6">
        <v>620</v>
      </c>
      <c r="O17" s="6">
        <v>719</v>
      </c>
      <c r="P17" s="6">
        <v>770</v>
      </c>
      <c r="Q17" s="6">
        <v>911</v>
      </c>
      <c r="R17" s="6">
        <v>974</v>
      </c>
      <c r="S17" s="6">
        <v>806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50"/>
      <c r="B18" s="1">
        <v>9811934080</v>
      </c>
      <c r="C18" s="5" t="s">
        <v>17</v>
      </c>
      <c r="E18" t="s">
        <v>11</v>
      </c>
      <c r="F18">
        <v>2409</v>
      </c>
      <c r="G18" s="5"/>
      <c r="H18" s="5" t="s">
        <v>6</v>
      </c>
      <c r="J18">
        <v>0</v>
      </c>
      <c r="K18">
        <v>1575</v>
      </c>
      <c r="L18">
        <v>0</v>
      </c>
      <c r="M18">
        <v>504</v>
      </c>
      <c r="N18">
        <v>0</v>
      </c>
      <c r="O18">
        <v>567</v>
      </c>
      <c r="P18">
        <v>126</v>
      </c>
      <c r="Q18">
        <v>1134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50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2016</v>
      </c>
      <c r="K19" s="9">
        <v>1575</v>
      </c>
      <c r="L19">
        <v>0</v>
      </c>
      <c r="M19" s="9">
        <v>504</v>
      </c>
      <c r="N19">
        <v>0</v>
      </c>
      <c r="O19" s="9">
        <v>693</v>
      </c>
      <c r="P19" s="9">
        <v>0</v>
      </c>
      <c r="Q19" s="9">
        <v>630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50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50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4076</v>
      </c>
      <c r="K21" s="2">
        <f t="shared" ref="K21:AC21" si="2">J21-K17+K19+K20</f>
        <v>5013</v>
      </c>
      <c r="L21" s="2">
        <f t="shared" si="2"/>
        <v>4445</v>
      </c>
      <c r="M21" s="2">
        <f t="shared" si="2"/>
        <v>4322</v>
      </c>
      <c r="N21" s="2">
        <f t="shared" si="2"/>
        <v>3702</v>
      </c>
      <c r="O21" s="2">
        <f t="shared" si="2"/>
        <v>3676</v>
      </c>
      <c r="P21" s="2">
        <f t="shared" si="2"/>
        <v>2906</v>
      </c>
      <c r="Q21" s="2">
        <f t="shared" si="2"/>
        <v>2625</v>
      </c>
      <c r="R21" s="2">
        <f t="shared" si="2"/>
        <v>1651</v>
      </c>
      <c r="S21" s="2">
        <f t="shared" si="2"/>
        <v>845</v>
      </c>
      <c r="T21" s="2">
        <f t="shared" si="2"/>
        <v>845</v>
      </c>
      <c r="U21" s="2">
        <f t="shared" si="2"/>
        <v>845</v>
      </c>
      <c r="V21" s="2">
        <f t="shared" si="2"/>
        <v>845</v>
      </c>
      <c r="W21" s="2">
        <f t="shared" si="2"/>
        <v>845</v>
      </c>
      <c r="X21" s="2">
        <f t="shared" si="2"/>
        <v>845</v>
      </c>
      <c r="Y21" s="2">
        <f t="shared" si="2"/>
        <v>845</v>
      </c>
      <c r="Z21" s="2">
        <f t="shared" si="2"/>
        <v>845</v>
      </c>
      <c r="AA21" s="2">
        <f t="shared" si="2"/>
        <v>845</v>
      </c>
      <c r="AB21" s="2">
        <f t="shared" si="2"/>
        <v>845</v>
      </c>
      <c r="AC21" s="2">
        <f t="shared" si="2"/>
        <v>845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21"/>
  <sheetViews>
    <sheetView showGridLines="0" topLeftCell="C1" zoomScaleNormal="100" workbookViewId="0">
      <selection activeCell="R11" sqref="R11"/>
    </sheetView>
  </sheetViews>
  <sheetFormatPr defaultRowHeight="15" x14ac:dyDescent="0.25"/>
  <cols>
    <col min="1" max="1" width="4.7109375" customWidth="1"/>
    <col min="2" max="2" width="38.285156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78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40</v>
      </c>
      <c r="K2" s="5">
        <v>41</v>
      </c>
      <c r="L2" s="5">
        <v>42</v>
      </c>
      <c r="M2" s="5">
        <v>43</v>
      </c>
      <c r="N2" s="5">
        <v>44</v>
      </c>
      <c r="O2" s="5">
        <v>45</v>
      </c>
      <c r="P2" s="5">
        <v>46</v>
      </c>
      <c r="Q2" s="5">
        <v>47</v>
      </c>
      <c r="R2" s="5">
        <v>48</v>
      </c>
      <c r="S2" s="5">
        <v>49</v>
      </c>
      <c r="T2" s="5">
        <v>50</v>
      </c>
      <c r="U2" s="5">
        <v>51</v>
      </c>
      <c r="V2" s="5">
        <v>52</v>
      </c>
      <c r="W2" s="5">
        <v>1</v>
      </c>
      <c r="X2" s="5">
        <v>2</v>
      </c>
      <c r="Y2" s="5">
        <v>3</v>
      </c>
      <c r="Z2" s="5">
        <v>4</v>
      </c>
      <c r="AA2" s="5">
        <v>5</v>
      </c>
      <c r="AB2" s="5">
        <v>6</v>
      </c>
      <c r="AC2" s="5">
        <v>7</v>
      </c>
    </row>
    <row r="3" spans="1:29" x14ac:dyDescent="0.25">
      <c r="A3" s="50" t="s">
        <v>14</v>
      </c>
      <c r="B3" s="8" t="s">
        <v>22</v>
      </c>
      <c r="C3" s="5" t="s">
        <v>17</v>
      </c>
      <c r="E3" t="s">
        <v>10</v>
      </c>
      <c r="F3">
        <f>F4+F5</f>
        <v>740</v>
      </c>
      <c r="G3" s="5">
        <f>calcFirstRunOut(J7:AC7)</f>
        <v>201946</v>
      </c>
      <c r="H3" s="5" t="s">
        <v>5</v>
      </c>
      <c r="J3" s="6">
        <v>69</v>
      </c>
      <c r="K3" s="6">
        <v>204</v>
      </c>
      <c r="L3" s="6">
        <v>37</v>
      </c>
      <c r="M3" s="6">
        <v>149</v>
      </c>
      <c r="N3" s="6">
        <v>90</v>
      </c>
      <c r="O3" s="6">
        <v>147</v>
      </c>
      <c r="P3" s="6">
        <v>172</v>
      </c>
      <c r="Q3" s="6">
        <v>210</v>
      </c>
      <c r="R3" s="6">
        <v>227</v>
      </c>
      <c r="S3" s="6">
        <v>178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50"/>
      <c r="B4" s="1">
        <v>9819671280</v>
      </c>
      <c r="C4" s="5" t="s">
        <v>17</v>
      </c>
      <c r="E4" t="s">
        <v>11</v>
      </c>
      <c r="F4">
        <v>740</v>
      </c>
      <c r="G4" s="5"/>
      <c r="H4" s="5" t="s">
        <v>6</v>
      </c>
      <c r="J4">
        <v>0</v>
      </c>
      <c r="K4">
        <v>240</v>
      </c>
      <c r="L4">
        <v>240</v>
      </c>
      <c r="M4">
        <v>60</v>
      </c>
      <c r="N4">
        <v>0</v>
      </c>
      <c r="O4">
        <v>0</v>
      </c>
      <c r="P4">
        <v>360</v>
      </c>
      <c r="Q4">
        <v>360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50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60</v>
      </c>
      <c r="O5" s="9">
        <v>0</v>
      </c>
      <c r="P5" s="9">
        <v>0</v>
      </c>
      <c r="Q5" s="9">
        <v>720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50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50"/>
      <c r="B7" s="1" t="s">
        <v>18</v>
      </c>
      <c r="C7" s="5" t="s">
        <v>17</v>
      </c>
      <c r="G7" s="5"/>
      <c r="H7" s="5" t="s">
        <v>9</v>
      </c>
      <c r="J7" s="2">
        <f>F3+I4+I5-J3+J5+J6</f>
        <v>671</v>
      </c>
      <c r="K7" s="2">
        <f>J7-K3+K5+K6</f>
        <v>467</v>
      </c>
      <c r="L7" s="2">
        <f>K7-L3+L5+L6</f>
        <v>430</v>
      </c>
      <c r="M7" s="2">
        <f>L7-M3+M5+M6</f>
        <v>281</v>
      </c>
      <c r="N7" s="2">
        <f>M7-N3+N5+N6</f>
        <v>251</v>
      </c>
      <c r="O7" s="2">
        <f>N7-O3+O5+O6</f>
        <v>104</v>
      </c>
      <c r="P7" s="2">
        <f>O7-P3+P5+P6</f>
        <v>-68</v>
      </c>
      <c r="Q7" s="2">
        <f>P7-Q3+Q5+Q6</f>
        <v>442</v>
      </c>
      <c r="R7" s="2">
        <f>Q7-R3+R5+R6</f>
        <v>215</v>
      </c>
      <c r="S7" s="2">
        <f>R7-S3+S5+S6</f>
        <v>37</v>
      </c>
      <c r="T7" s="2">
        <f>S7-T3+T5+T6</f>
        <v>37</v>
      </c>
      <c r="U7" s="2">
        <f>T7-U3+U5+U6</f>
        <v>37</v>
      </c>
      <c r="V7" s="2">
        <f>U7-V3+V5+V6</f>
        <v>37</v>
      </c>
      <c r="W7" s="2">
        <f>V7-W3+W5+W6</f>
        <v>37</v>
      </c>
      <c r="X7" s="2">
        <f>W7-X3+X5+X6</f>
        <v>37</v>
      </c>
      <c r="Y7" s="2">
        <f>X7-Y3+Y5+Y6</f>
        <v>37</v>
      </c>
      <c r="Z7" s="2">
        <f>Y7-Z3+Z5+Z6</f>
        <v>37</v>
      </c>
      <c r="AA7" s="2">
        <f>Z7-AA3+AA5+AA6</f>
        <v>37</v>
      </c>
      <c r="AB7" s="2">
        <f>AA7-AB3+AB5+AB6</f>
        <v>37</v>
      </c>
      <c r="AC7" s="2">
        <f>AB7-AC3+AC5+AC6</f>
        <v>37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40</v>
      </c>
      <c r="K9" s="5">
        <v>41</v>
      </c>
      <c r="L9" s="5">
        <v>42</v>
      </c>
      <c r="M9" s="5">
        <v>43</v>
      </c>
      <c r="N9" s="5">
        <v>44</v>
      </c>
      <c r="O9" s="5">
        <v>45</v>
      </c>
      <c r="P9" s="5">
        <v>46</v>
      </c>
      <c r="Q9" s="5">
        <v>47</v>
      </c>
      <c r="R9" s="5">
        <v>48</v>
      </c>
      <c r="S9" s="5">
        <v>49</v>
      </c>
      <c r="T9" s="5">
        <v>50</v>
      </c>
      <c r="U9" s="5">
        <v>51</v>
      </c>
      <c r="V9" s="5">
        <v>52</v>
      </c>
      <c r="W9" s="5">
        <v>1</v>
      </c>
      <c r="X9" s="5">
        <v>2</v>
      </c>
      <c r="Y9" s="5">
        <v>3</v>
      </c>
      <c r="Z9" s="5">
        <v>4</v>
      </c>
      <c r="AA9" s="5">
        <v>5</v>
      </c>
      <c r="AB9" s="5">
        <v>6</v>
      </c>
      <c r="AC9" s="5">
        <v>7</v>
      </c>
    </row>
    <row r="10" spans="1:29" x14ac:dyDescent="0.25">
      <c r="A10" s="50" t="s">
        <v>14</v>
      </c>
      <c r="B10" s="8" t="s">
        <v>23</v>
      </c>
      <c r="C10" s="5" t="s">
        <v>17</v>
      </c>
      <c r="E10" t="s">
        <v>10</v>
      </c>
      <c r="F10">
        <f>F11+F12</f>
        <v>2538</v>
      </c>
      <c r="G10" s="5">
        <f>calcFirstRunOut(J14:AC14)</f>
        <v>202007</v>
      </c>
      <c r="H10" s="5" t="s">
        <v>5</v>
      </c>
      <c r="J10" s="6">
        <v>349</v>
      </c>
      <c r="K10" s="6">
        <v>638</v>
      </c>
      <c r="L10" s="6">
        <v>568</v>
      </c>
      <c r="M10" s="6">
        <v>627</v>
      </c>
      <c r="N10" s="6">
        <v>620</v>
      </c>
      <c r="O10" s="6">
        <v>719</v>
      </c>
      <c r="P10" s="6">
        <v>770</v>
      </c>
      <c r="Q10" s="6">
        <v>911</v>
      </c>
      <c r="R10" s="6">
        <v>974</v>
      </c>
      <c r="S10" s="6">
        <v>806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50"/>
      <c r="B11" s="1">
        <v>9811933980</v>
      </c>
      <c r="C11" s="5" t="s">
        <v>17</v>
      </c>
      <c r="E11" t="s">
        <v>11</v>
      </c>
      <c r="F11">
        <v>2538</v>
      </c>
      <c r="G11" s="5"/>
      <c r="H11" s="5" t="s">
        <v>6</v>
      </c>
      <c r="J11">
        <v>0</v>
      </c>
      <c r="K11">
        <v>1575</v>
      </c>
      <c r="L11">
        <v>0</v>
      </c>
      <c r="M11">
        <v>504</v>
      </c>
      <c r="N11">
        <v>0</v>
      </c>
      <c r="O11">
        <v>756</v>
      </c>
      <c r="P11">
        <v>0</v>
      </c>
      <c r="Q11">
        <v>945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50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2016</v>
      </c>
      <c r="K12" s="9">
        <v>1575</v>
      </c>
      <c r="L12">
        <v>0</v>
      </c>
      <c r="M12" s="9">
        <v>504</v>
      </c>
      <c r="N12">
        <v>0</v>
      </c>
      <c r="O12" s="9">
        <v>756</v>
      </c>
      <c r="P12">
        <v>0</v>
      </c>
      <c r="Q12" s="9">
        <v>630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50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50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4205</v>
      </c>
      <c r="K14" s="2">
        <f>J14-K10+K12+K13</f>
        <v>5142</v>
      </c>
      <c r="L14" s="2">
        <f>K14-L10+L12+L13</f>
        <v>4574</v>
      </c>
      <c r="M14" s="2">
        <f>L14-M10+M12+M13</f>
        <v>4451</v>
      </c>
      <c r="N14" s="2">
        <f>M14-N10+N12+N13</f>
        <v>3831</v>
      </c>
      <c r="O14" s="2">
        <f>N14-O10+O12+O13</f>
        <v>3868</v>
      </c>
      <c r="P14" s="2">
        <f>O14-P10+P12+P13</f>
        <v>3098</v>
      </c>
      <c r="Q14" s="2">
        <f>P14-Q10+Q12+Q13</f>
        <v>2817</v>
      </c>
      <c r="R14" s="2">
        <f>Q14-R10+R12+R13</f>
        <v>1843</v>
      </c>
      <c r="S14" s="2">
        <f>R14-S10+S12+S13</f>
        <v>1037</v>
      </c>
      <c r="T14" s="2">
        <f>S14-T10+T12+T13</f>
        <v>1037</v>
      </c>
      <c r="U14" s="2">
        <f>T14-U10+U12+U13</f>
        <v>1037</v>
      </c>
      <c r="V14" s="2">
        <f>U14-V10+V12+V13</f>
        <v>1037</v>
      </c>
      <c r="W14" s="2">
        <f>V14-W10+W12+W13</f>
        <v>1037</v>
      </c>
      <c r="X14" s="2">
        <f>W14-X10+X12+X13</f>
        <v>1037</v>
      </c>
      <c r="Y14" s="2">
        <f>X14-Y10+Y12+Y13</f>
        <v>1037</v>
      </c>
      <c r="Z14" s="2">
        <f>Y14-Z10+Z12+Z13</f>
        <v>1037</v>
      </c>
      <c r="AA14" s="2">
        <f>Z14-AA10+AA12+AA13</f>
        <v>1037</v>
      </c>
      <c r="AB14" s="2">
        <f>AA14-AB10+AB12+AB13</f>
        <v>1037</v>
      </c>
      <c r="AC14" s="2">
        <f>AB14-AC10+AC12+AC13</f>
        <v>1037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40</v>
      </c>
      <c r="K16" s="5">
        <v>41</v>
      </c>
      <c r="L16" s="5">
        <v>42</v>
      </c>
      <c r="M16" s="5">
        <v>43</v>
      </c>
      <c r="N16" s="5">
        <v>44</v>
      </c>
      <c r="O16" s="5">
        <v>45</v>
      </c>
      <c r="P16" s="5">
        <v>46</v>
      </c>
      <c r="Q16" s="5">
        <v>47</v>
      </c>
      <c r="R16" s="5">
        <v>48</v>
      </c>
      <c r="S16" s="5">
        <v>49</v>
      </c>
      <c r="T16" s="5">
        <v>50</v>
      </c>
      <c r="U16" s="5">
        <v>51</v>
      </c>
      <c r="V16" s="5">
        <v>52</v>
      </c>
      <c r="W16" s="5">
        <v>1</v>
      </c>
      <c r="X16" s="5">
        <v>2</v>
      </c>
      <c r="Y16" s="5">
        <v>3</v>
      </c>
      <c r="Z16" s="5">
        <v>4</v>
      </c>
      <c r="AA16" s="5">
        <v>5</v>
      </c>
      <c r="AB16" s="5">
        <v>6</v>
      </c>
      <c r="AC16" s="5">
        <v>7</v>
      </c>
    </row>
    <row r="17" spans="1:29" x14ac:dyDescent="0.25">
      <c r="A17" s="50" t="s">
        <v>14</v>
      </c>
      <c r="B17" s="8" t="s">
        <v>23</v>
      </c>
      <c r="C17" s="5" t="s">
        <v>17</v>
      </c>
      <c r="E17" t="s">
        <v>10</v>
      </c>
      <c r="F17">
        <f>F18+F19</f>
        <v>2409</v>
      </c>
      <c r="G17" s="5">
        <f>calcFirstRunOut(J21:AC21)</f>
        <v>202007</v>
      </c>
      <c r="H17" s="5" t="s">
        <v>5</v>
      </c>
      <c r="J17" s="6">
        <v>349</v>
      </c>
      <c r="K17" s="6">
        <v>638</v>
      </c>
      <c r="L17" s="6">
        <v>568</v>
      </c>
      <c r="M17" s="6">
        <v>627</v>
      </c>
      <c r="N17" s="6">
        <v>620</v>
      </c>
      <c r="O17" s="6">
        <v>719</v>
      </c>
      <c r="P17" s="6">
        <v>770</v>
      </c>
      <c r="Q17" s="6">
        <v>911</v>
      </c>
      <c r="R17" s="6">
        <v>974</v>
      </c>
      <c r="S17" s="6">
        <v>806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50"/>
      <c r="B18" s="1">
        <v>9811934080</v>
      </c>
      <c r="C18" s="5" t="s">
        <v>17</v>
      </c>
      <c r="E18" t="s">
        <v>11</v>
      </c>
      <c r="F18">
        <v>2409</v>
      </c>
      <c r="G18" s="5"/>
      <c r="H18" s="5" t="s">
        <v>6</v>
      </c>
      <c r="J18">
        <v>0</v>
      </c>
      <c r="K18">
        <v>1575</v>
      </c>
      <c r="L18">
        <v>0</v>
      </c>
      <c r="M18">
        <v>504</v>
      </c>
      <c r="N18">
        <v>0</v>
      </c>
      <c r="O18">
        <v>567</v>
      </c>
      <c r="P18">
        <v>126</v>
      </c>
      <c r="Q18">
        <v>1134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50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2016</v>
      </c>
      <c r="K19" s="9">
        <v>1575</v>
      </c>
      <c r="L19">
        <v>0</v>
      </c>
      <c r="M19" s="9">
        <v>504</v>
      </c>
      <c r="N19">
        <v>0</v>
      </c>
      <c r="O19" s="9">
        <v>693</v>
      </c>
      <c r="P19" s="9">
        <v>0</v>
      </c>
      <c r="Q19" s="9">
        <v>630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50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50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4076</v>
      </c>
      <c r="K21" s="2">
        <f>J21-K17+K19+K20</f>
        <v>5013</v>
      </c>
      <c r="L21" s="2">
        <f>K21-L17+L19+L20</f>
        <v>4445</v>
      </c>
      <c r="M21" s="2">
        <f>L21-M17+M19+M20</f>
        <v>4322</v>
      </c>
      <c r="N21" s="2">
        <f>M21-N17+N19+N20</f>
        <v>3702</v>
      </c>
      <c r="O21" s="2">
        <f>N21-O17+O19+O20</f>
        <v>3676</v>
      </c>
      <c r="P21" s="2">
        <f>O21-P17+P19+P20</f>
        <v>2906</v>
      </c>
      <c r="Q21" s="2">
        <f>P21-Q17+Q19+Q20</f>
        <v>2625</v>
      </c>
      <c r="R21" s="2">
        <f>Q21-R17+R19+R20</f>
        <v>1651</v>
      </c>
      <c r="S21" s="2">
        <f>R21-S17+S19+S20</f>
        <v>845</v>
      </c>
      <c r="T21" s="2">
        <f>S21-T17+T19+T20</f>
        <v>845</v>
      </c>
      <c r="U21" s="2">
        <f>T21-U17+U19+U20</f>
        <v>845</v>
      </c>
      <c r="V21" s="2">
        <f>U21-V17+V19+V20</f>
        <v>845</v>
      </c>
      <c r="W21" s="2">
        <f>V21-W17+W19+W20</f>
        <v>845</v>
      </c>
      <c r="X21" s="2">
        <f>W21-X17+X19+X20</f>
        <v>845</v>
      </c>
      <c r="Y21" s="2">
        <f>X21-Y17+Y19+Y20</f>
        <v>845</v>
      </c>
      <c r="Z21" s="2">
        <f>Y21-Z17+Z19+Z20</f>
        <v>845</v>
      </c>
      <c r="AA21" s="2">
        <f>Z21-AA17+AA19+AA20</f>
        <v>845</v>
      </c>
      <c r="AB21" s="2">
        <f>AA21-AB17+AB19+AB20</f>
        <v>845</v>
      </c>
      <c r="AC21" s="2">
        <f>AB21-AC17+AC19+AC20</f>
        <v>845</v>
      </c>
    </row>
  </sheetData>
  <mergeCells count="3">
    <mergeCell ref="A3:A7"/>
    <mergeCell ref="A10:A14"/>
    <mergeCell ref="A17:A2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/>
  </sheetViews>
  <sheetFormatPr defaultRowHeight="15" x14ac:dyDescent="0.25"/>
  <sheetData>
    <row r="1" spans="1:2" x14ac:dyDescent="0.25">
      <c r="A1" t="s">
        <v>79</v>
      </c>
      <c r="B1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tabSelected="1" workbookViewId="0"/>
  </sheetViews>
  <sheetFormatPr defaultRowHeight="15" x14ac:dyDescent="0.25"/>
  <sheetData>
    <row r="1" spans="1:2" x14ac:dyDescent="0.25">
      <c r="A1" t="s">
        <v>80</v>
      </c>
      <c r="B1" t="s">
        <v>13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output20191001</vt:lpstr>
      <vt:lpstr>Sheet1</vt:lpstr>
      <vt:lpstr>Sheet3</vt:lpstr>
      <vt:lpstr>Sheet4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2019-10-01T13:44:09Z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